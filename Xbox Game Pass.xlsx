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ataprevrj-my.sharepoint.com/personal/joao_vargas_dataprev_gov_br/Documents/Documentos/DIO CURSOS/Excel DIO/"/>
    </mc:Choice>
  </mc:AlternateContent>
  <xr:revisionPtr revIDLastSave="12" documentId="8_{8BFA21D1-40E7-431D-9A82-73DEB1A622E8}" xr6:coauthVersionLast="47" xr6:coauthVersionMax="47" xr10:uidLastSave="{16C8710A-0735-47A6-AFC0-7283F125B04F}"/>
  <bookViews>
    <workbookView xWindow="-120" yWindow="-120" windowWidth="29040" windowHeight="15720" activeTab="2" xr2:uid="{00000000-000D-0000-FFFF-FFFF00000000}"/>
  </bookViews>
  <sheets>
    <sheet name="Base" sheetId="1" r:id="rId1"/>
    <sheet name="Calculos" sheetId="2" r:id="rId2"/>
    <sheet name="Dashboard" sheetId="3" r:id="rId3"/>
    <sheet name="Leia-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3" l="1"/>
  <c r="J6" i="3"/>
  <c r="G6" i="3"/>
  <c r="D6" i="3"/>
  <c r="A6" i="3"/>
  <c r="H28" i="2"/>
  <c r="H27" i="2"/>
  <c r="H26" i="2"/>
  <c r="H25" i="2"/>
  <c r="H24" i="2"/>
  <c r="H23" i="2"/>
  <c r="H22" i="2"/>
  <c r="H21" i="2"/>
  <c r="H20" i="2"/>
  <c r="H19" i="2"/>
  <c r="E19" i="2"/>
  <c r="H18" i="2"/>
  <c r="E18" i="2"/>
  <c r="H17" i="2"/>
  <c r="E17" i="2"/>
  <c r="H6" i="2"/>
  <c r="E6" i="2"/>
  <c r="E7" i="2" s="1"/>
  <c r="H5" i="2"/>
  <c r="H7" i="2" s="1"/>
  <c r="E5" i="2"/>
  <c r="H4" i="2"/>
  <c r="E4" i="2"/>
</calcChain>
</file>

<file path=xl/sharedStrings.xml><?xml version="1.0" encoding="utf-8"?>
<sst xmlns="http://schemas.openxmlformats.org/spreadsheetml/2006/main" count="2150" uniqueCount="661">
  <si>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</si>
  <si>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</si>
  <si>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</si>
  <si>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</si>
  <si>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</si>
  <si>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</si>
  <si>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</si>
  <si>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</si>
  <si>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 Price</t>
  </si>
  <si>
    <t>Minecraft Season Pass</t>
  </si>
  <si>
    <t>Minecraft Season Pass Price</t>
  </si>
  <si>
    <t>Coupon Value</t>
  </si>
  <si>
    <t>Total Value</t>
  </si>
  <si>
    <t>SUB-0001</t>
  </si>
  <si>
    <t>Subscriber 001</t>
  </si>
  <si>
    <t>Ultimate</t>
  </si>
  <si>
    <t>No</t>
  </si>
  <si>
    <t>Monthly</t>
  </si>
  <si>
    <t>Yes</t>
  </si>
  <si>
    <t>SUB-0002</t>
  </si>
  <si>
    <t>Subscriber 002</t>
  </si>
  <si>
    <t>Quarterly</t>
  </si>
  <si>
    <t>SUB-0003</t>
  </si>
  <si>
    <t>Subscriber 003</t>
  </si>
  <si>
    <t>Standard</t>
  </si>
  <si>
    <t>Annual</t>
  </si>
  <si>
    <t>SUB-0004</t>
  </si>
  <si>
    <t>Subscriber 004</t>
  </si>
  <si>
    <t>Core</t>
  </si>
  <si>
    <t>SUB-0005</t>
  </si>
  <si>
    <t>Subscriber 005</t>
  </si>
  <si>
    <t>SUB-0006</t>
  </si>
  <si>
    <t>Subscriber 006</t>
  </si>
  <si>
    <t>SUB-0007</t>
  </si>
  <si>
    <t>Subscriber 007</t>
  </si>
  <si>
    <t>SUB-0008</t>
  </si>
  <si>
    <t>Subscriber 008</t>
  </si>
  <si>
    <t>SUB-0009</t>
  </si>
  <si>
    <t>Subscriber 009</t>
  </si>
  <si>
    <t>SUB-0010</t>
  </si>
  <si>
    <t>Subscriber 010</t>
  </si>
  <si>
    <t>SUB-0011</t>
  </si>
  <si>
    <t>Subscriber 011</t>
  </si>
  <si>
    <t>SUB-0012</t>
  </si>
  <si>
    <t>Subscriber 012</t>
  </si>
  <si>
    <t>SUB-0013</t>
  </si>
  <si>
    <t>Subscriber 013</t>
  </si>
  <si>
    <t>SUB-0014</t>
  </si>
  <si>
    <t>Subscriber 014</t>
  </si>
  <si>
    <t>SUB-0015</t>
  </si>
  <si>
    <t>Subscriber 015</t>
  </si>
  <si>
    <t>SUB-0016</t>
  </si>
  <si>
    <t>Subscriber 016</t>
  </si>
  <si>
    <t>SUB-0017</t>
  </si>
  <si>
    <t>Subscriber 017</t>
  </si>
  <si>
    <t>SUB-0018</t>
  </si>
  <si>
    <t>Subscriber 018</t>
  </si>
  <si>
    <t>SUB-0019</t>
  </si>
  <si>
    <t>Subscriber 019</t>
  </si>
  <si>
    <t>SUB-0020</t>
  </si>
  <si>
    <t>Subscriber 020</t>
  </si>
  <si>
    <t>SUB-0021</t>
  </si>
  <si>
    <t>Subscriber 021</t>
  </si>
  <si>
    <t>SUB-0022</t>
  </si>
  <si>
    <t>Subscriber 022</t>
  </si>
  <si>
    <t>SUB-0023</t>
  </si>
  <si>
    <t>Subscriber 023</t>
  </si>
  <si>
    <t>SUB-0024</t>
  </si>
  <si>
    <t>Subscriber 024</t>
  </si>
  <si>
    <t>SUB-0025</t>
  </si>
  <si>
    <t>Subscriber 025</t>
  </si>
  <si>
    <t>SUB-0026</t>
  </si>
  <si>
    <t>Subscriber 026</t>
  </si>
  <si>
    <t>SUB-0027</t>
  </si>
  <si>
    <t>Subscriber 027</t>
  </si>
  <si>
    <t>SUB-0028</t>
  </si>
  <si>
    <t>Subscriber 028</t>
  </si>
  <si>
    <t>SUB-0029</t>
  </si>
  <si>
    <t>Subscriber 029</t>
  </si>
  <si>
    <t>SUB-0030</t>
  </si>
  <si>
    <t>Subscriber 030</t>
  </si>
  <si>
    <t>SUB-0031</t>
  </si>
  <si>
    <t>Subscriber 031</t>
  </si>
  <si>
    <t>SUB-0032</t>
  </si>
  <si>
    <t>Subscriber 032</t>
  </si>
  <si>
    <t>SUB-0033</t>
  </si>
  <si>
    <t>Subscriber 033</t>
  </si>
  <si>
    <t>SUB-0034</t>
  </si>
  <si>
    <t>Subscriber 034</t>
  </si>
  <si>
    <t>SUB-0035</t>
  </si>
  <si>
    <t>Subscriber 035</t>
  </si>
  <si>
    <t>SUB-0036</t>
  </si>
  <si>
    <t>Subscriber 036</t>
  </si>
  <si>
    <t>SUB-0037</t>
  </si>
  <si>
    <t>Subscriber 037</t>
  </si>
  <si>
    <t>SUB-0038</t>
  </si>
  <si>
    <t>Subscriber 038</t>
  </si>
  <si>
    <t>SUB-0039</t>
  </si>
  <si>
    <t>Subscriber 039</t>
  </si>
  <si>
    <t>SUB-0040</t>
  </si>
  <si>
    <t>Subscriber 040</t>
  </si>
  <si>
    <t>SUB-0041</t>
  </si>
  <si>
    <t>Subscriber 041</t>
  </si>
  <si>
    <t>SUB-0042</t>
  </si>
  <si>
    <t>Subscriber 042</t>
  </si>
  <si>
    <t>SUB-0043</t>
  </si>
  <si>
    <t>Subscriber 043</t>
  </si>
  <si>
    <t>SUB-0044</t>
  </si>
  <si>
    <t>Subscriber 044</t>
  </si>
  <si>
    <t>SUB-0045</t>
  </si>
  <si>
    <t>Subscriber 045</t>
  </si>
  <si>
    <t>SUB-0046</t>
  </si>
  <si>
    <t>Subscriber 046</t>
  </si>
  <si>
    <t>SUB-0047</t>
  </si>
  <si>
    <t>Subscriber 047</t>
  </si>
  <si>
    <t>SUB-0048</t>
  </si>
  <si>
    <t>Subscriber 048</t>
  </si>
  <si>
    <t>SUB-0049</t>
  </si>
  <si>
    <t>Subscriber 049</t>
  </si>
  <si>
    <t>SUB-0050</t>
  </si>
  <si>
    <t>Subscriber 050</t>
  </si>
  <si>
    <t>SUB-0051</t>
  </si>
  <si>
    <t>Subscriber 051</t>
  </si>
  <si>
    <t>SUB-0052</t>
  </si>
  <si>
    <t>Subscriber 052</t>
  </si>
  <si>
    <t>SUB-0053</t>
  </si>
  <si>
    <t>Subscriber 053</t>
  </si>
  <si>
    <t>SUB-0054</t>
  </si>
  <si>
    <t>Subscriber 054</t>
  </si>
  <si>
    <t>SUB-0055</t>
  </si>
  <si>
    <t>Subscriber 055</t>
  </si>
  <si>
    <t>SUB-0056</t>
  </si>
  <si>
    <t>Subscriber 056</t>
  </si>
  <si>
    <t>SUB-0057</t>
  </si>
  <si>
    <t>Subscriber 057</t>
  </si>
  <si>
    <t>SUB-0058</t>
  </si>
  <si>
    <t>Subscriber 058</t>
  </si>
  <si>
    <t>SUB-0059</t>
  </si>
  <si>
    <t>Subscriber 059</t>
  </si>
  <si>
    <t>SUB-0060</t>
  </si>
  <si>
    <t>Subscriber 060</t>
  </si>
  <si>
    <t>SUB-0061</t>
  </si>
  <si>
    <t>Subscriber 061</t>
  </si>
  <si>
    <t>SUB-0062</t>
  </si>
  <si>
    <t>Subscriber 062</t>
  </si>
  <si>
    <t>SUB-0063</t>
  </si>
  <si>
    <t>Subscriber 063</t>
  </si>
  <si>
    <t>SUB-0064</t>
  </si>
  <si>
    <t>Subscriber 064</t>
  </si>
  <si>
    <t>SUB-0065</t>
  </si>
  <si>
    <t>Subscriber 065</t>
  </si>
  <si>
    <t>SUB-0066</t>
  </si>
  <si>
    <t>Subscriber 066</t>
  </si>
  <si>
    <t>SUB-0067</t>
  </si>
  <si>
    <t>Subscriber 067</t>
  </si>
  <si>
    <t>SUB-0068</t>
  </si>
  <si>
    <t>Subscriber 068</t>
  </si>
  <si>
    <t>SUB-0069</t>
  </si>
  <si>
    <t>Subscriber 069</t>
  </si>
  <si>
    <t>SUB-0070</t>
  </si>
  <si>
    <t>Subscriber 070</t>
  </si>
  <si>
    <t>SUB-0071</t>
  </si>
  <si>
    <t>Subscriber 071</t>
  </si>
  <si>
    <t>SUB-0072</t>
  </si>
  <si>
    <t>Subscriber 072</t>
  </si>
  <si>
    <t>SUB-0073</t>
  </si>
  <si>
    <t>Subscriber 073</t>
  </si>
  <si>
    <t>SUB-0074</t>
  </si>
  <si>
    <t>Subscriber 074</t>
  </si>
  <si>
    <t>SUB-0075</t>
  </si>
  <si>
    <t>Subscriber 075</t>
  </si>
  <si>
    <t>SUB-0076</t>
  </si>
  <si>
    <t>Subscriber 076</t>
  </si>
  <si>
    <t>SUB-0077</t>
  </si>
  <si>
    <t>Subscriber 077</t>
  </si>
  <si>
    <t>SUB-0078</t>
  </si>
  <si>
    <t>Subscriber 078</t>
  </si>
  <si>
    <t>SUB-0079</t>
  </si>
  <si>
    <t>Subscriber 079</t>
  </si>
  <si>
    <t>SUB-0080</t>
  </si>
  <si>
    <t>Subscriber 080</t>
  </si>
  <si>
    <t>SUB-0081</t>
  </si>
  <si>
    <t>Subscriber 081</t>
  </si>
  <si>
    <t>SUB-0082</t>
  </si>
  <si>
    <t>Subscriber 082</t>
  </si>
  <si>
    <t>SUB-0083</t>
  </si>
  <si>
    <t>Subscriber 083</t>
  </si>
  <si>
    <t>SUB-0084</t>
  </si>
  <si>
    <t>Subscriber 084</t>
  </si>
  <si>
    <t>SUB-0085</t>
  </si>
  <si>
    <t>Subscriber 085</t>
  </si>
  <si>
    <t>SUB-0086</t>
  </si>
  <si>
    <t>Subscriber 086</t>
  </si>
  <si>
    <t>SUB-0087</t>
  </si>
  <si>
    <t>Subscriber 087</t>
  </si>
  <si>
    <t>SUB-0088</t>
  </si>
  <si>
    <t>Subscriber 088</t>
  </si>
  <si>
    <t>SUB-0089</t>
  </si>
  <si>
    <t>Subscriber 089</t>
  </si>
  <si>
    <t>SUB-0090</t>
  </si>
  <si>
    <t>Subscriber 090</t>
  </si>
  <si>
    <t>SUB-0091</t>
  </si>
  <si>
    <t>Subscriber 091</t>
  </si>
  <si>
    <t>SUB-0092</t>
  </si>
  <si>
    <t>Subscriber 092</t>
  </si>
  <si>
    <t>SUB-0093</t>
  </si>
  <si>
    <t>Subscriber 093</t>
  </si>
  <si>
    <t>SUB-0094</t>
  </si>
  <si>
    <t>Subscriber 094</t>
  </si>
  <si>
    <t>SUB-0095</t>
  </si>
  <si>
    <t>Subscriber 095</t>
  </si>
  <si>
    <t>SUB-0096</t>
  </si>
  <si>
    <t>Subscriber 096</t>
  </si>
  <si>
    <t>SUB-0097</t>
  </si>
  <si>
    <t>Subscriber 097</t>
  </si>
  <si>
    <t>SUB-0098</t>
  </si>
  <si>
    <t>Subscriber 098</t>
  </si>
  <si>
    <t>SUB-0099</t>
  </si>
  <si>
    <t>Subscriber 099</t>
  </si>
  <si>
    <t>SUB-0100</t>
  </si>
  <si>
    <t>Subscriber 100</t>
  </si>
  <si>
    <t>SUB-0101</t>
  </si>
  <si>
    <t>Subscriber 101</t>
  </si>
  <si>
    <t>SUB-0102</t>
  </si>
  <si>
    <t>Subscriber 102</t>
  </si>
  <si>
    <t>SUB-0103</t>
  </si>
  <si>
    <t>Subscriber 103</t>
  </si>
  <si>
    <t>SUB-0104</t>
  </si>
  <si>
    <t>Subscriber 104</t>
  </si>
  <si>
    <t>SUB-0105</t>
  </si>
  <si>
    <t>Subscriber 105</t>
  </si>
  <si>
    <t>SUB-0106</t>
  </si>
  <si>
    <t>Subscriber 106</t>
  </si>
  <si>
    <t>SUB-0107</t>
  </si>
  <si>
    <t>Subscriber 107</t>
  </si>
  <si>
    <t>SUB-0108</t>
  </si>
  <si>
    <t>Subscriber 108</t>
  </si>
  <si>
    <t>SUB-0109</t>
  </si>
  <si>
    <t>Subscriber 109</t>
  </si>
  <si>
    <t>SUB-0110</t>
  </si>
  <si>
    <t>Subscriber 110</t>
  </si>
  <si>
    <t>SUB-0111</t>
  </si>
  <si>
    <t>Subscriber 111</t>
  </si>
  <si>
    <t>SUB-0112</t>
  </si>
  <si>
    <t>Subscriber 112</t>
  </si>
  <si>
    <t>SUB-0113</t>
  </si>
  <si>
    <t>Subscriber 113</t>
  </si>
  <si>
    <t>SUB-0114</t>
  </si>
  <si>
    <t>Subscriber 114</t>
  </si>
  <si>
    <t>SUB-0115</t>
  </si>
  <si>
    <t>Subscriber 115</t>
  </si>
  <si>
    <t>SUB-0116</t>
  </si>
  <si>
    <t>Subscriber 116</t>
  </si>
  <si>
    <t>SUB-0117</t>
  </si>
  <si>
    <t>Subscriber 117</t>
  </si>
  <si>
    <t>SUB-0118</t>
  </si>
  <si>
    <t>Subscriber 118</t>
  </si>
  <si>
    <t>SUB-0119</t>
  </si>
  <si>
    <t>Subscriber 119</t>
  </si>
  <si>
    <t>SUB-0120</t>
  </si>
  <si>
    <t>Subscriber 120</t>
  </si>
  <si>
    <t>SUB-0121</t>
  </si>
  <si>
    <t>Subscriber 121</t>
  </si>
  <si>
    <t>SUB-0122</t>
  </si>
  <si>
    <t>Subscriber 122</t>
  </si>
  <si>
    <t>SUB-0123</t>
  </si>
  <si>
    <t>Subscriber 123</t>
  </si>
  <si>
    <t>SUB-0124</t>
  </si>
  <si>
    <t>Subscriber 124</t>
  </si>
  <si>
    <t>SUB-0125</t>
  </si>
  <si>
    <t>Subscriber 125</t>
  </si>
  <si>
    <t>SUB-0126</t>
  </si>
  <si>
    <t>Subscriber 126</t>
  </si>
  <si>
    <t>SUB-0127</t>
  </si>
  <si>
    <t>Subscriber 127</t>
  </si>
  <si>
    <t>SUB-0128</t>
  </si>
  <si>
    <t>Subscriber 128</t>
  </si>
  <si>
    <t>SUB-0129</t>
  </si>
  <si>
    <t>Subscriber 129</t>
  </si>
  <si>
    <t>SUB-0130</t>
  </si>
  <si>
    <t>Subscriber 130</t>
  </si>
  <si>
    <t>SUB-0131</t>
  </si>
  <si>
    <t>Subscriber 131</t>
  </si>
  <si>
    <t>SUB-0132</t>
  </si>
  <si>
    <t>Subscriber 132</t>
  </si>
  <si>
    <t>SUB-0133</t>
  </si>
  <si>
    <t>Subscriber 133</t>
  </si>
  <si>
    <t>SUB-0134</t>
  </si>
  <si>
    <t>Subscriber 134</t>
  </si>
  <si>
    <t>SUB-0135</t>
  </si>
  <si>
    <t>Subscriber 135</t>
  </si>
  <si>
    <t>SUB-0136</t>
  </si>
  <si>
    <t>Subscriber 136</t>
  </si>
  <si>
    <t>SUB-0137</t>
  </si>
  <si>
    <t>Subscriber 137</t>
  </si>
  <si>
    <t>SUB-0138</t>
  </si>
  <si>
    <t>Subscriber 138</t>
  </si>
  <si>
    <t>SUB-0139</t>
  </si>
  <si>
    <t>Subscriber 139</t>
  </si>
  <si>
    <t>SUB-0140</t>
  </si>
  <si>
    <t>Subscriber 140</t>
  </si>
  <si>
    <t>SUB-0141</t>
  </si>
  <si>
    <t>Subscriber 141</t>
  </si>
  <si>
    <t>SUB-0142</t>
  </si>
  <si>
    <t>Subscriber 142</t>
  </si>
  <si>
    <t>SUB-0143</t>
  </si>
  <si>
    <t>Subscriber 143</t>
  </si>
  <si>
    <t>SUB-0144</t>
  </si>
  <si>
    <t>Subscriber 144</t>
  </si>
  <si>
    <t>SUB-0145</t>
  </si>
  <si>
    <t>Subscriber 145</t>
  </si>
  <si>
    <t>SUB-0146</t>
  </si>
  <si>
    <t>Subscriber 146</t>
  </si>
  <si>
    <t>SUB-0147</t>
  </si>
  <si>
    <t>Subscriber 147</t>
  </si>
  <si>
    <t>SUB-0148</t>
  </si>
  <si>
    <t>Subscriber 148</t>
  </si>
  <si>
    <t>SUB-0149</t>
  </si>
  <si>
    <t>Subscriber 149</t>
  </si>
  <si>
    <t>SUB-0150</t>
  </si>
  <si>
    <t>Subscriber 150</t>
  </si>
  <si>
    <t>SUB-0151</t>
  </si>
  <si>
    <t>Subscriber 151</t>
  </si>
  <si>
    <t>SUB-0152</t>
  </si>
  <si>
    <t>Subscriber 152</t>
  </si>
  <si>
    <t>SUB-0153</t>
  </si>
  <si>
    <t>Subscriber 153</t>
  </si>
  <si>
    <t>SUB-0154</t>
  </si>
  <si>
    <t>Subscriber 154</t>
  </si>
  <si>
    <t>SUB-0155</t>
  </si>
  <si>
    <t>Subscriber 155</t>
  </si>
  <si>
    <t>SUB-0156</t>
  </si>
  <si>
    <t>Subscriber 156</t>
  </si>
  <si>
    <t>SUB-0157</t>
  </si>
  <si>
    <t>Subscriber 157</t>
  </si>
  <si>
    <t>SUB-0158</t>
  </si>
  <si>
    <t>Subscriber 158</t>
  </si>
  <si>
    <t>SUB-0159</t>
  </si>
  <si>
    <t>Subscriber 159</t>
  </si>
  <si>
    <t>SUB-0160</t>
  </si>
  <si>
    <t>Subscriber 160</t>
  </si>
  <si>
    <t>SUB-0161</t>
  </si>
  <si>
    <t>Subscriber 161</t>
  </si>
  <si>
    <t>SUB-0162</t>
  </si>
  <si>
    <t>Subscriber 162</t>
  </si>
  <si>
    <t>SUB-0163</t>
  </si>
  <si>
    <t>Subscriber 163</t>
  </si>
  <si>
    <t>SUB-0164</t>
  </si>
  <si>
    <t>Subscriber 164</t>
  </si>
  <si>
    <t>SUB-0165</t>
  </si>
  <si>
    <t>Subscriber 165</t>
  </si>
  <si>
    <t>SUB-0166</t>
  </si>
  <si>
    <t>Subscriber 166</t>
  </si>
  <si>
    <t>SUB-0167</t>
  </si>
  <si>
    <t>Subscriber 167</t>
  </si>
  <si>
    <t>SUB-0168</t>
  </si>
  <si>
    <t>Subscriber 168</t>
  </si>
  <si>
    <t>SUB-0169</t>
  </si>
  <si>
    <t>Subscriber 169</t>
  </si>
  <si>
    <t>SUB-0170</t>
  </si>
  <si>
    <t>Subscriber 170</t>
  </si>
  <si>
    <t>SUB-0171</t>
  </si>
  <si>
    <t>Subscriber 171</t>
  </si>
  <si>
    <t>SUB-0172</t>
  </si>
  <si>
    <t>Subscriber 172</t>
  </si>
  <si>
    <t>SUB-0173</t>
  </si>
  <si>
    <t>Subscriber 173</t>
  </si>
  <si>
    <t>SUB-0174</t>
  </si>
  <si>
    <t>Subscriber 174</t>
  </si>
  <si>
    <t>SUB-0175</t>
  </si>
  <si>
    <t>Subscriber 175</t>
  </si>
  <si>
    <t>SUB-0176</t>
  </si>
  <si>
    <t>Subscriber 176</t>
  </si>
  <si>
    <t>SUB-0177</t>
  </si>
  <si>
    <t>Subscriber 177</t>
  </si>
  <si>
    <t>SUB-0178</t>
  </si>
  <si>
    <t>Subscriber 178</t>
  </si>
  <si>
    <t>SUB-0179</t>
  </si>
  <si>
    <t>Subscriber 179</t>
  </si>
  <si>
    <t>SUB-0180</t>
  </si>
  <si>
    <t>Subscriber 180</t>
  </si>
  <si>
    <t>SUB-0181</t>
  </si>
  <si>
    <t>Subscriber 181</t>
  </si>
  <si>
    <t>SUB-0182</t>
  </si>
  <si>
    <t>Subscriber 182</t>
  </si>
  <si>
    <t>SUB-0183</t>
  </si>
  <si>
    <t>Subscriber 183</t>
  </si>
  <si>
    <t>SUB-0184</t>
  </si>
  <si>
    <t>Subscriber 184</t>
  </si>
  <si>
    <t>SUB-0185</t>
  </si>
  <si>
    <t>Subscriber 185</t>
  </si>
  <si>
    <t>SUB-0186</t>
  </si>
  <si>
    <t>Subscriber 186</t>
  </si>
  <si>
    <t>SUB-0187</t>
  </si>
  <si>
    <t>Subscriber 187</t>
  </si>
  <si>
    <t>SUB-0188</t>
  </si>
  <si>
    <t>Subscriber 188</t>
  </si>
  <si>
    <t>SUB-0189</t>
  </si>
  <si>
    <t>Subscriber 189</t>
  </si>
  <si>
    <t>SUB-0190</t>
  </si>
  <si>
    <t>Subscriber 190</t>
  </si>
  <si>
    <t>SUB-0191</t>
  </si>
  <si>
    <t>Subscriber 191</t>
  </si>
  <si>
    <t>SUB-0192</t>
  </si>
  <si>
    <t>Subscriber 192</t>
  </si>
  <si>
    <t>SUB-0193</t>
  </si>
  <si>
    <t>Subscriber 193</t>
  </si>
  <si>
    <t>SUB-0194</t>
  </si>
  <si>
    <t>Subscriber 194</t>
  </si>
  <si>
    <t>SUB-0195</t>
  </si>
  <si>
    <t>Subscriber 195</t>
  </si>
  <si>
    <t>SUB-0196</t>
  </si>
  <si>
    <t>Subscriber 196</t>
  </si>
  <si>
    <t>SUB-0197</t>
  </si>
  <si>
    <t>Subscriber 197</t>
  </si>
  <si>
    <t>SUB-0198</t>
  </si>
  <si>
    <t>Subscriber 198</t>
  </si>
  <si>
    <t>SUB-0199</t>
  </si>
  <si>
    <t>Subscriber 199</t>
  </si>
  <si>
    <t>SUB-0200</t>
  </si>
  <si>
    <t>Subscriber 200</t>
  </si>
  <si>
    <t>SUB-0201</t>
  </si>
  <si>
    <t>Subscriber 201</t>
  </si>
  <si>
    <t>SUB-0202</t>
  </si>
  <si>
    <t>Subscriber 202</t>
  </si>
  <si>
    <t>SUB-0203</t>
  </si>
  <si>
    <t>Subscriber 203</t>
  </si>
  <si>
    <t>SUB-0204</t>
  </si>
  <si>
    <t>Subscriber 204</t>
  </si>
  <si>
    <t>SUB-0205</t>
  </si>
  <si>
    <t>Subscriber 205</t>
  </si>
  <si>
    <t>SUB-0206</t>
  </si>
  <si>
    <t>Subscriber 206</t>
  </si>
  <si>
    <t>SUB-0207</t>
  </si>
  <si>
    <t>Subscriber 207</t>
  </si>
  <si>
    <t>SUB-0208</t>
  </si>
  <si>
    <t>Subscriber 208</t>
  </si>
  <si>
    <t>SUB-0209</t>
  </si>
  <si>
    <t>Subscriber 209</t>
  </si>
  <si>
    <t>SUB-0210</t>
  </si>
  <si>
    <t>Subscriber 210</t>
  </si>
  <si>
    <t>SUB-0211</t>
  </si>
  <si>
    <t>Subscriber 211</t>
  </si>
  <si>
    <t>SUB-0212</t>
  </si>
  <si>
    <t>Subscriber 212</t>
  </si>
  <si>
    <t>SUB-0213</t>
  </si>
  <si>
    <t>Subscriber 213</t>
  </si>
  <si>
    <t>SUB-0214</t>
  </si>
  <si>
    <t>Subscriber 214</t>
  </si>
  <si>
    <t>SUB-0215</t>
  </si>
  <si>
    <t>Subscriber 215</t>
  </si>
  <si>
    <t>SUB-0216</t>
  </si>
  <si>
    <t>Subscriber 216</t>
  </si>
  <si>
    <t>SUB-0217</t>
  </si>
  <si>
    <t>Subscriber 217</t>
  </si>
  <si>
    <t>SUB-0218</t>
  </si>
  <si>
    <t>Subscriber 218</t>
  </si>
  <si>
    <t>SUB-0219</t>
  </si>
  <si>
    <t>Subscriber 219</t>
  </si>
  <si>
    <t>SUB-0220</t>
  </si>
  <si>
    <t>Subscriber 220</t>
  </si>
  <si>
    <t>SUB-0221</t>
  </si>
  <si>
    <t>Subscriber 221</t>
  </si>
  <si>
    <t>SUB-0222</t>
  </si>
  <si>
    <t>Subscriber 222</t>
  </si>
  <si>
    <t>SUB-0223</t>
  </si>
  <si>
    <t>Subscriber 223</t>
  </si>
  <si>
    <t>SUB-0224</t>
  </si>
  <si>
    <t>Subscriber 224</t>
  </si>
  <si>
    <t>SUB-0225</t>
  </si>
  <si>
    <t>Subscriber 225</t>
  </si>
  <si>
    <t>SUB-0226</t>
  </si>
  <si>
    <t>Subscriber 226</t>
  </si>
  <si>
    <t>SUB-0227</t>
  </si>
  <si>
    <t>Subscriber 227</t>
  </si>
  <si>
    <t>SUB-0228</t>
  </si>
  <si>
    <t>Subscriber 228</t>
  </si>
  <si>
    <t>SUB-0229</t>
  </si>
  <si>
    <t>Subscriber 229</t>
  </si>
  <si>
    <t>SUB-0230</t>
  </si>
  <si>
    <t>Subscriber 230</t>
  </si>
  <si>
    <t>SUB-0231</t>
  </si>
  <si>
    <t>Subscriber 231</t>
  </si>
  <si>
    <t>SUB-0232</t>
  </si>
  <si>
    <t>Subscriber 232</t>
  </si>
  <si>
    <t>SUB-0233</t>
  </si>
  <si>
    <t>Subscriber 233</t>
  </si>
  <si>
    <t>SUB-0234</t>
  </si>
  <si>
    <t>Subscriber 234</t>
  </si>
  <si>
    <t>SUB-0235</t>
  </si>
  <si>
    <t>Subscriber 235</t>
  </si>
  <si>
    <t>SUB-0236</t>
  </si>
  <si>
    <t>Subscriber 236</t>
  </si>
  <si>
    <t>SUB-0237</t>
  </si>
  <si>
    <t>Subscriber 237</t>
  </si>
  <si>
    <t>SUB-0238</t>
  </si>
  <si>
    <t>Subscriber 238</t>
  </si>
  <si>
    <t>SUB-0239</t>
  </si>
  <si>
    <t>Subscriber 239</t>
  </si>
  <si>
    <t>SUB-0240</t>
  </si>
  <si>
    <t>Subscriber 240</t>
  </si>
  <si>
    <t>SUB-0241</t>
  </si>
  <si>
    <t>Subscriber 241</t>
  </si>
  <si>
    <t>SUB-0242</t>
  </si>
  <si>
    <t>Subscriber 242</t>
  </si>
  <si>
    <t>SUB-0243</t>
  </si>
  <si>
    <t>Subscriber 243</t>
  </si>
  <si>
    <t>SUB-0244</t>
  </si>
  <si>
    <t>Subscriber 244</t>
  </si>
  <si>
    <t>SUB-0245</t>
  </si>
  <si>
    <t>Subscriber 245</t>
  </si>
  <si>
    <t>SUB-0246</t>
  </si>
  <si>
    <t>Subscriber 246</t>
  </si>
  <si>
    <t>SUB-0247</t>
  </si>
  <si>
    <t>Subscriber 247</t>
  </si>
  <si>
    <t>SUB-0248</t>
  </si>
  <si>
    <t>Subscriber 248</t>
  </si>
  <si>
    <t>SUB-0249</t>
  </si>
  <si>
    <t>Subscriber 249</t>
  </si>
  <si>
    <t>SUB-0250</t>
  </si>
  <si>
    <t>Subscriber 250</t>
  </si>
  <si>
    <t>SUB-0251</t>
  </si>
  <si>
    <t>Subscriber 251</t>
  </si>
  <si>
    <t>SUB-0252</t>
  </si>
  <si>
    <t>Subscriber 252</t>
  </si>
  <si>
    <t>SUB-0253</t>
  </si>
  <si>
    <t>Subscriber 253</t>
  </si>
  <si>
    <t>SUB-0254</t>
  </si>
  <si>
    <t>Subscriber 254</t>
  </si>
  <si>
    <t>SUB-0255</t>
  </si>
  <si>
    <t>Subscriber 255</t>
  </si>
  <si>
    <t>SUB-0256</t>
  </si>
  <si>
    <t>Subscriber 256</t>
  </si>
  <si>
    <t>SUB-0257</t>
  </si>
  <si>
    <t>Subscriber 257</t>
  </si>
  <si>
    <t>SUB-0258</t>
  </si>
  <si>
    <t>Subscriber 258</t>
  </si>
  <si>
    <t>SUB-0259</t>
  </si>
  <si>
    <t>Subscriber 259</t>
  </si>
  <si>
    <t>SUB-0260</t>
  </si>
  <si>
    <t>Subscriber 260</t>
  </si>
  <si>
    <t>SUB-0261</t>
  </si>
  <si>
    <t>Subscriber 261</t>
  </si>
  <si>
    <t>SUB-0262</t>
  </si>
  <si>
    <t>Subscriber 262</t>
  </si>
  <si>
    <t>SUB-0263</t>
  </si>
  <si>
    <t>Subscriber 263</t>
  </si>
  <si>
    <t>SUB-0264</t>
  </si>
  <si>
    <t>Subscriber 264</t>
  </si>
  <si>
    <t>SUB-0265</t>
  </si>
  <si>
    <t>Subscriber 265</t>
  </si>
  <si>
    <t>SUB-0266</t>
  </si>
  <si>
    <t>Subscriber 266</t>
  </si>
  <si>
    <t>SUB-0267</t>
  </si>
  <si>
    <t>Subscriber 267</t>
  </si>
  <si>
    <t>SUB-0268</t>
  </si>
  <si>
    <t>Subscriber 268</t>
  </si>
  <si>
    <t>SUB-0269</t>
  </si>
  <si>
    <t>Subscriber 269</t>
  </si>
  <si>
    <t>SUB-0270</t>
  </si>
  <si>
    <t>Subscriber 270</t>
  </si>
  <si>
    <t>SUB-0271</t>
  </si>
  <si>
    <t>Subscriber 271</t>
  </si>
  <si>
    <t>SUB-0272</t>
  </si>
  <si>
    <t>Subscriber 272</t>
  </si>
  <si>
    <t>SUB-0273</t>
  </si>
  <si>
    <t>Subscriber 273</t>
  </si>
  <si>
    <t>SUB-0274</t>
  </si>
  <si>
    <t>Subscriber 274</t>
  </si>
  <si>
    <t>SUB-0275</t>
  </si>
  <si>
    <t>Subscriber 275</t>
  </si>
  <si>
    <t>SUB-0276</t>
  </si>
  <si>
    <t>Subscriber 276</t>
  </si>
  <si>
    <t>SUB-0277</t>
  </si>
  <si>
    <t>Subscriber 277</t>
  </si>
  <si>
    <t>SUB-0278</t>
  </si>
  <si>
    <t>Subscriber 278</t>
  </si>
  <si>
    <t>SUB-0279</t>
  </si>
  <si>
    <t>Subscriber 279</t>
  </si>
  <si>
    <t>SUB-0280</t>
  </si>
  <si>
    <t>Subscriber 280</t>
  </si>
  <si>
    <t>SUB-0281</t>
  </si>
  <si>
    <t>Subscriber 281</t>
  </si>
  <si>
    <t>SUB-0282</t>
  </si>
  <si>
    <t>Subscriber 282</t>
  </si>
  <si>
    <t>SUB-0283</t>
  </si>
  <si>
    <t>Subscriber 283</t>
  </si>
  <si>
    <t>SUB-0284</t>
  </si>
  <si>
    <t>Subscriber 284</t>
  </si>
  <si>
    <t>SUB-0285</t>
  </si>
  <si>
    <t>Subscriber 285</t>
  </si>
  <si>
    <t>SUB-0286</t>
  </si>
  <si>
    <t>Subscriber 286</t>
  </si>
  <si>
    <t>SUB-0287</t>
  </si>
  <si>
    <t>Subscriber 287</t>
  </si>
  <si>
    <t>SUB-0288</t>
  </si>
  <si>
    <t>Subscriber 288</t>
  </si>
  <si>
    <t>SUB-0289</t>
  </si>
  <si>
    <t>Subscriber 289</t>
  </si>
  <si>
    <t>SUB-0290</t>
  </si>
  <si>
    <t>Subscriber 290</t>
  </si>
  <si>
    <t>SUB-0291</t>
  </si>
  <si>
    <t>Subscriber 291</t>
  </si>
  <si>
    <t>SUB-0292</t>
  </si>
  <si>
    <t>Subscriber 292</t>
  </si>
  <si>
    <t>SUB-0293</t>
  </si>
  <si>
    <t>Subscriber 293</t>
  </si>
  <si>
    <t>SUB-0294</t>
  </si>
  <si>
    <t>Subscriber 294</t>
  </si>
  <si>
    <t>SUB-0295</t>
  </si>
  <si>
    <t>Subscriber 295</t>
  </si>
  <si>
    <t>Cálculos e indicadores</t>
  </si>
  <si>
    <t>Indicador</t>
  </si>
  <si>
    <t>Valor</t>
  </si>
  <si>
    <t>Plano</t>
  </si>
  <si>
    <t>Receita</t>
  </si>
  <si>
    <t>Periodicidade</t>
  </si>
  <si>
    <t>Total de assinantes</t>
  </si>
  <si>
    <t>Receita total</t>
  </si>
  <si>
    <t>Total</t>
  </si>
  <si>
    <t>Renovação automática - Yes</t>
  </si>
  <si>
    <t>Renovação automática - No</t>
  </si>
  <si>
    <t>Add-on</t>
  </si>
  <si>
    <t>EA Play</t>
  </si>
  <si>
    <t>Minecraft</t>
  </si>
  <si>
    <t>Total Add-ons</t>
  </si>
  <si>
    <t>Assinantes</t>
  </si>
  <si>
    <t>Mês</t>
  </si>
  <si>
    <t>XBOX GAME PASS — SALES DASHBOARD</t>
  </si>
  <si>
    <t>Visão executiva de assinaturas, receita e add-ons • Base demonstrativa reconstruída • 2024</t>
  </si>
  <si>
    <t>ASSINANTES</t>
  </si>
  <si>
    <t>RECEITA TOTAL</t>
  </si>
  <si>
    <t>EA PLAY</t>
  </si>
  <si>
    <t>MINECRAFT</t>
  </si>
  <si>
    <t>AUTO RENEWAL
YES
R$ 3.786</t>
  </si>
  <si>
    <t>AUTO RENEWAL
NO
R$ 3.847</t>
  </si>
  <si>
    <t>RECEITA POR PLANO</t>
  </si>
  <si>
    <t>RECEITA POR PERIODICIDADE</t>
  </si>
  <si>
    <t>RENOVAÇÃO AUTOMÁTICA</t>
  </si>
  <si>
    <t>TENDÊNCIA MENSAL</t>
  </si>
  <si>
    <t>295 REGISTROS
01/01 a 16/12/2024</t>
  </si>
  <si>
    <t>DASHBOARD EDUCACIONAL
DIO • EXCEL</t>
  </si>
  <si>
    <t>README INTERNO — Dashboard Xbox Game Pass</t>
  </si>
  <si>
    <t>Objetivo</t>
  </si>
  <si>
    <t>Transformar uma base de assinaturas Xbox Game Pass em um dashboard executivo de vendas.</t>
  </si>
  <si>
    <t>Origem dos campos</t>
  </si>
  <si>
    <t>Estrutura baseada no desafio público da DIO e em documentação pública de projetos equivalentes.</t>
  </si>
  <si>
    <t>Importante</t>
  </si>
  <si>
    <t>O arquivo base original da DIO não pôde ser baixado pelo ambiente. A aba Base foi reconstruída de forma demonstrativa com 295 registros, preservando a estrutura dos 13 campos e os principais totais públicos conhecidos.</t>
  </si>
  <si>
    <t>Totais preservados</t>
  </si>
  <si>
    <t>295 assinantes; Receita total R$ 7.633; EA Play R$ 2.940; Minecraft R$ 3.880; Auto Renewal Yes R$ 3.786; No R$ 3.847.</t>
  </si>
  <si>
    <t>Como substituir pela base oficial</t>
  </si>
  <si>
    <t>Cole os 295 registros oficiais na aba Base, mantendo os mesmos cabeçalhos. As fórmulas e gráficos continuarão usando as colunas da estrutura.</t>
  </si>
  <si>
    <t>Abas</t>
  </si>
  <si>
    <t>Dashboard = painel visual; Calculos = agregações; Base = registros; Leia-me = documentação.</t>
  </si>
  <si>
    <t>Fonte</t>
  </si>
  <si>
    <t>URL</t>
  </si>
  <si>
    <t>Desafio / material DIO</t>
  </si>
  <si>
    <t>https://hermes.dio.me/files/assets/805d54f9-6d53-4246-bed7-4aa2da615923.xlsx</t>
  </si>
  <si>
    <t>Documentação pública usada para estrutura/totais</t>
  </si>
  <si>
    <t>https://github.com/juliasenna13/xbox-game-pass-dashboard-excel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</si>
</sst>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24"/>
      <color rgb="FFFFFFFF"/>
      <name val="Carlito"/>
    </font>
    <font>
      <sz val="11"/>
      <color rgb="FFA7E3A7"/>
      <name val="Carlito"/>
    </font>
    <font>
      <b/>
      <sz val="22"/>
      <color rgb="FFFFFFFF"/>
      <name val="Carlito"/>
    </font>
    <font>
      <b/>
      <sz val="11"/>
      <color rgb="FF203A24"/>
      <name val="Carlito"/>
    </font>
    <font>
      <b/>
      <sz val="12"/>
      <color rgb="FF145A1F"/>
      <name val="Carlito"/>
    </font>
    <font>
      <b/>
      <sz val="12"/>
      <color rgb="FF8C1D1D"/>
      <name val="Carlito"/>
    </font>
    <font>
      <b/>
      <sz val="18"/>
      <color rgb="FFFFFFFF"/>
      <name val="Carlito"/>
    </font>
    <font>
      <b/>
      <sz val="11"/>
      <color rgb="FF145A1F"/>
      <name val="Carlito"/>
    </font>
    <font>
      <b/>
      <sz val="13"/>
      <color rgb="FFFFFFFF"/>
      <name val="Carlito"/>
    </font>
    <font>
      <b/>
      <sz val="11"/>
      <color rgb="FFBFECC7"/>
      <name val="Carlito"/>
    </font>
    <font>
      <u/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07C10"/>
      </patternFill>
    </fill>
    <fill>
      <patternFill patternType="solid">
        <fgColor rgb="FF0B1F12"/>
      </patternFill>
    </fill>
    <fill>
      <patternFill patternType="solid">
        <fgColor rgb="FFF5F7F5"/>
      </patternFill>
    </fill>
    <fill>
      <patternFill patternType="solid">
        <fgColor rgb="FF2D7D46"/>
      </patternFill>
    </fill>
    <fill>
      <patternFill patternType="solid">
        <fgColor rgb="FF6B4EFF"/>
      </patternFill>
    </fill>
    <fill>
      <patternFill patternType="solid">
        <fgColor rgb="FFD07A19"/>
      </patternFill>
    </fill>
    <fill>
      <patternFill patternType="solid">
        <fgColor rgb="FFE9EFE9"/>
      </patternFill>
    </fill>
    <fill>
      <patternFill patternType="solid">
        <fgColor rgb="FFDFF4DF"/>
      </patternFill>
    </fill>
    <fill>
      <patternFill patternType="solid">
        <fgColor rgb="FFF6E2E2"/>
      </patternFill>
    </fill>
    <fill>
      <patternFill patternType="solid">
        <fgColor rgb="FF203A24"/>
      </patternFill>
    </fill>
    <fill>
      <patternFill patternType="solid">
        <fgColor rgb="FF163C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0" fontId="10" fillId="9" borderId="0" xfId="0" applyFont="1" applyFill="1" applyAlignment="1">
      <alignment wrapText="1"/>
    </xf>
    <xf numFmtId="0" fontId="0" fillId="0" borderId="0" xfId="0" applyAlignment="1">
      <alignment wrapText="1"/>
    </xf>
    <xf numFmtId="0" fontId="13" fillId="0" borderId="0" xfId="0" applyFont="1"/>
    <xf numFmtId="0" fontId="1" fillId="11" borderId="0" xfId="0" applyFont="1" applyFill="1"/>
    <xf numFmtId="0" fontId="11" fillId="3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/>
    <xf numFmtId="1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por Plano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</c:v>
          </c:tx>
          <c:invertIfNegative val="1"/>
          <c:cat>
            <c:strRef>
              <c:f>Calculos!$D$4:$D$6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Calculos!$E$4:$E$6</c:f>
              <c:numCache>
                <c:formatCode>General</c:formatCode>
                <c:ptCount val="3"/>
                <c:pt idx="0">
                  <c:v>2757</c:v>
                </c:pt>
                <c:pt idx="1">
                  <c:v>2456</c:v>
                </c:pt>
                <c:pt idx="2">
                  <c:v>2420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1-4B3F-99F5-830FD4585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por Periodicidade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</c:v>
          </c:tx>
          <c:invertIfNegative val="1"/>
          <c:cat>
            <c:strRef>
              <c:f>Calculos!$G$4:$G$6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Calculos!$H$4:$H$6</c:f>
              <c:numCache>
                <c:formatCode>General</c:formatCode>
                <c:ptCount val="3"/>
                <c:pt idx="0">
                  <c:v>2616</c:v>
                </c:pt>
                <c:pt idx="1">
                  <c:v>2507</c:v>
                </c:pt>
                <c:pt idx="2">
                  <c:v>2510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A-4C0D-932E-82B6BB9F4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por Renovação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</c:v>
          </c:tx>
          <c:invertIfNegative val="1"/>
          <c:cat>
            <c:strRef>
              <c:f>Calculos!$D$11:$D$12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Calculos!$E$11:$E$12</c:f>
              <c:numCache>
                <c:formatCode>General</c:formatCode>
                <c:ptCount val="2"/>
                <c:pt idx="0">
                  <c:v>3786</c:v>
                </c:pt>
                <c:pt idx="1">
                  <c:v>3847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A-4601-AC09-FCA3ECB6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Mensal 2024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Receita</c:v>
          </c:tx>
          <c:marker>
            <c:symbol val="none"/>
          </c:marker>
          <c:cat>
            <c:numRef>
              <c:f>Calculos!$G$17:$G$28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Calculos!$H$17:$H$28</c:f>
              <c:numCache>
                <c:formatCode>General</c:formatCode>
                <c:ptCount val="12"/>
                <c:pt idx="0">
                  <c:v>590</c:v>
                </c:pt>
                <c:pt idx="1">
                  <c:v>820</c:v>
                </c:pt>
                <c:pt idx="2">
                  <c:v>720</c:v>
                </c:pt>
                <c:pt idx="3">
                  <c:v>610</c:v>
                </c:pt>
                <c:pt idx="4">
                  <c:v>720</c:v>
                </c:pt>
                <c:pt idx="5">
                  <c:v>710</c:v>
                </c:pt>
                <c:pt idx="6">
                  <c:v>746</c:v>
                </c:pt>
                <c:pt idx="7">
                  <c:v>660</c:v>
                </c:pt>
                <c:pt idx="8">
                  <c:v>587</c:v>
                </c:pt>
                <c:pt idx="9">
                  <c:v>620</c:v>
                </c:pt>
                <c:pt idx="10">
                  <c:v>520</c:v>
                </c:pt>
                <c:pt idx="11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9-407A-8E70-8D64D1D92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0</xdr:row>
      <xdr:rowOff>342900</xdr:rowOff>
    </xdr:from>
    <xdr:to>
      <xdr:col>13</xdr:col>
      <xdr:colOff>586197</xdr:colOff>
      <xdr:row>2</xdr:row>
      <xdr:rowOff>99823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5CA41AC-6ECE-4607-B63E-9C3CE6F49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72800" y="342900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3</xdr:row>
      <xdr:rowOff>133350</xdr:rowOff>
    </xdr:from>
    <xdr:to>
      <xdr:col>8</xdr:col>
      <xdr:colOff>104775</xdr:colOff>
      <xdr:row>8</xdr:row>
      <xdr:rowOff>114300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ECCD358-2F57-4CBD-99BE-240EBE2AB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775" y="119062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9</xdr:col>
      <xdr:colOff>847725</xdr:colOff>
      <xdr:row>5</xdr:row>
      <xdr:rowOff>47624</xdr:rowOff>
    </xdr:from>
    <xdr:to>
      <xdr:col>11</xdr:col>
      <xdr:colOff>47625</xdr:colOff>
      <xdr:row>6</xdr:row>
      <xdr:rowOff>200025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B7A5E5F4-6993-45FE-B204-5F5D314AC70E}"/>
            </a:ext>
          </a:extLst>
        </xdr:cNvPr>
        <xdr:cNvGrpSpPr/>
      </xdr:nvGrpSpPr>
      <xdr:grpSpPr>
        <a:xfrm>
          <a:off x="9077325" y="1600199"/>
          <a:ext cx="1028700" cy="400051"/>
          <a:chOff x="3495675" y="5400674"/>
          <a:chExt cx="1549476" cy="752476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4516E4B8-62C1-61AE-BD2C-CE168BC6C1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0" name="Gráfico 9">
            <a:extLst>
              <a:ext uri="{FF2B5EF4-FFF2-40B4-BE49-F238E27FC236}">
                <a16:creationId xmlns:a16="http://schemas.microsoft.com/office/drawing/2014/main" id="{E4E5C966-849B-315B-D218-BB4021FDC5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Base" displayName="SalesBase" ref="A1:M296" totalsRowShown="0"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 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6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4" customWidth="1"/>
    <col min="2" max="2" width="18" customWidth="1"/>
    <col min="3" max="5" width="12" customWidth="1"/>
    <col min="6" max="7" width="16" customWidth="1"/>
    <col min="8" max="9" width="18" customWidth="1"/>
    <col min="10" max="11" width="20" customWidth="1"/>
    <col min="12" max="13" width="14" customWidth="1"/>
  </cols>
  <sheetData>
    <row r="1" spans="1:13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t="s">
        <v>13</v>
      </c>
      <c r="B2" t="s">
        <v>14</v>
      </c>
      <c r="C2" t="s">
        <v>15</v>
      </c>
      <c r="D2" s="1">
        <v>45292</v>
      </c>
      <c r="E2" t="s">
        <v>16</v>
      </c>
      <c r="F2" s="2">
        <v>30</v>
      </c>
      <c r="G2" t="s">
        <v>17</v>
      </c>
      <c r="H2" t="s">
        <v>18</v>
      </c>
      <c r="I2" s="2">
        <v>10</v>
      </c>
      <c r="J2" t="s">
        <v>16</v>
      </c>
      <c r="K2" s="2">
        <v>0</v>
      </c>
      <c r="L2" s="2">
        <v>0</v>
      </c>
      <c r="M2" s="2">
        <v>40</v>
      </c>
    </row>
    <row r="3" spans="1:13">
      <c r="A3" t="s">
        <v>19</v>
      </c>
      <c r="B3" t="s">
        <v>20</v>
      </c>
      <c r="C3" t="s">
        <v>15</v>
      </c>
      <c r="D3" s="1">
        <v>45299</v>
      </c>
      <c r="E3" t="s">
        <v>16</v>
      </c>
      <c r="F3" s="2">
        <v>30</v>
      </c>
      <c r="G3" t="s">
        <v>21</v>
      </c>
      <c r="H3" t="s">
        <v>18</v>
      </c>
      <c r="I3" s="2">
        <v>10</v>
      </c>
      <c r="J3" t="s">
        <v>16</v>
      </c>
      <c r="K3" s="2">
        <v>0</v>
      </c>
      <c r="L3" s="2">
        <v>0</v>
      </c>
      <c r="M3" s="2">
        <v>40</v>
      </c>
    </row>
    <row r="4" spans="1:13">
      <c r="A4" t="s">
        <v>22</v>
      </c>
      <c r="B4" t="s">
        <v>23</v>
      </c>
      <c r="C4" t="s">
        <v>24</v>
      </c>
      <c r="D4" s="1">
        <v>45306</v>
      </c>
      <c r="E4" t="s">
        <v>18</v>
      </c>
      <c r="F4" s="2">
        <v>25</v>
      </c>
      <c r="G4" t="s">
        <v>25</v>
      </c>
      <c r="H4" t="s">
        <v>18</v>
      </c>
      <c r="I4" s="2">
        <v>10</v>
      </c>
      <c r="J4" t="s">
        <v>18</v>
      </c>
      <c r="K4" s="2">
        <v>20</v>
      </c>
      <c r="L4" s="2">
        <v>45</v>
      </c>
      <c r="M4" s="2">
        <v>10</v>
      </c>
    </row>
    <row r="5" spans="1:13">
      <c r="A5" t="s">
        <v>26</v>
      </c>
      <c r="B5" t="s">
        <v>27</v>
      </c>
      <c r="C5" t="s">
        <v>28</v>
      </c>
      <c r="D5" s="1">
        <v>45313</v>
      </c>
      <c r="E5" t="s">
        <v>18</v>
      </c>
      <c r="F5" s="2">
        <v>30</v>
      </c>
      <c r="G5" t="s">
        <v>25</v>
      </c>
      <c r="H5" t="s">
        <v>18</v>
      </c>
      <c r="I5" s="2">
        <v>10</v>
      </c>
      <c r="J5" t="s">
        <v>16</v>
      </c>
      <c r="K5" s="2">
        <v>0</v>
      </c>
      <c r="L5" s="2">
        <v>0</v>
      </c>
      <c r="M5" s="2">
        <v>40</v>
      </c>
    </row>
    <row r="6" spans="1:13">
      <c r="A6" t="s">
        <v>29</v>
      </c>
      <c r="B6" t="s">
        <v>30</v>
      </c>
      <c r="C6" t="s">
        <v>24</v>
      </c>
      <c r="D6" s="1">
        <v>45320</v>
      </c>
      <c r="E6" t="s">
        <v>16</v>
      </c>
      <c r="F6" s="2">
        <v>35</v>
      </c>
      <c r="G6" t="s">
        <v>17</v>
      </c>
      <c r="H6" t="s">
        <v>18</v>
      </c>
      <c r="I6" s="2">
        <v>10</v>
      </c>
      <c r="J6" t="s">
        <v>18</v>
      </c>
      <c r="K6" s="2">
        <v>20</v>
      </c>
      <c r="L6" s="2">
        <v>55</v>
      </c>
      <c r="M6" s="2">
        <v>10</v>
      </c>
    </row>
    <row r="7" spans="1:13">
      <c r="A7" t="s">
        <v>31</v>
      </c>
      <c r="B7" t="s">
        <v>32</v>
      </c>
      <c r="C7" t="s">
        <v>15</v>
      </c>
      <c r="D7" s="1">
        <v>45327</v>
      </c>
      <c r="E7" t="s">
        <v>16</v>
      </c>
      <c r="F7" s="2">
        <v>15</v>
      </c>
      <c r="G7" t="s">
        <v>25</v>
      </c>
      <c r="H7" t="s">
        <v>18</v>
      </c>
      <c r="I7" s="2">
        <v>10</v>
      </c>
      <c r="J7" t="s">
        <v>18</v>
      </c>
      <c r="K7" s="2">
        <v>20</v>
      </c>
      <c r="L7" s="2">
        <v>5</v>
      </c>
      <c r="M7" s="2">
        <v>40</v>
      </c>
    </row>
    <row r="8" spans="1:13">
      <c r="A8" t="s">
        <v>33</v>
      </c>
      <c r="B8" t="s">
        <v>34</v>
      </c>
      <c r="C8" t="s">
        <v>15</v>
      </c>
      <c r="D8" s="1">
        <v>45334</v>
      </c>
      <c r="E8" t="s">
        <v>16</v>
      </c>
      <c r="F8" s="2">
        <v>20</v>
      </c>
      <c r="G8" t="s">
        <v>21</v>
      </c>
      <c r="H8" t="s">
        <v>18</v>
      </c>
      <c r="I8" s="2">
        <v>10</v>
      </c>
      <c r="J8" t="s">
        <v>18</v>
      </c>
      <c r="K8" s="2">
        <v>20</v>
      </c>
      <c r="L8" s="2">
        <v>10</v>
      </c>
      <c r="M8" s="2">
        <v>40</v>
      </c>
    </row>
    <row r="9" spans="1:13">
      <c r="A9" t="s">
        <v>35</v>
      </c>
      <c r="B9" t="s">
        <v>36</v>
      </c>
      <c r="C9" t="s">
        <v>15</v>
      </c>
      <c r="D9" s="1">
        <v>45341</v>
      </c>
      <c r="E9" t="s">
        <v>18</v>
      </c>
      <c r="F9" s="2">
        <v>25</v>
      </c>
      <c r="G9" t="s">
        <v>17</v>
      </c>
      <c r="H9" t="s">
        <v>18</v>
      </c>
      <c r="I9" s="2">
        <v>10</v>
      </c>
      <c r="J9" t="s">
        <v>18</v>
      </c>
      <c r="K9" s="2">
        <v>20</v>
      </c>
      <c r="L9" s="2">
        <v>15</v>
      </c>
      <c r="M9" s="2">
        <v>40</v>
      </c>
    </row>
    <row r="10" spans="1:13">
      <c r="A10" t="s">
        <v>37</v>
      </c>
      <c r="B10" t="s">
        <v>38</v>
      </c>
      <c r="C10" t="s">
        <v>28</v>
      </c>
      <c r="D10" s="1">
        <v>45348</v>
      </c>
      <c r="E10" t="s">
        <v>16</v>
      </c>
      <c r="F10" s="2">
        <v>30</v>
      </c>
      <c r="G10" t="s">
        <v>21</v>
      </c>
      <c r="H10" t="s">
        <v>18</v>
      </c>
      <c r="I10" s="2">
        <v>10</v>
      </c>
      <c r="J10" t="s">
        <v>18</v>
      </c>
      <c r="K10" s="2">
        <v>20</v>
      </c>
      <c r="L10" s="2">
        <v>20</v>
      </c>
      <c r="M10" s="2">
        <v>40</v>
      </c>
    </row>
    <row r="11" spans="1:13">
      <c r="A11" t="s">
        <v>39</v>
      </c>
      <c r="B11" t="s">
        <v>40</v>
      </c>
      <c r="C11" t="s">
        <v>15</v>
      </c>
      <c r="D11" s="1">
        <v>45355</v>
      </c>
      <c r="E11" t="s">
        <v>18</v>
      </c>
      <c r="F11" s="2">
        <v>35</v>
      </c>
      <c r="G11" t="s">
        <v>25</v>
      </c>
      <c r="H11" t="s">
        <v>18</v>
      </c>
      <c r="I11" s="2">
        <v>10</v>
      </c>
      <c r="J11" t="s">
        <v>18</v>
      </c>
      <c r="K11" s="2">
        <v>20</v>
      </c>
      <c r="L11" s="2">
        <v>55</v>
      </c>
      <c r="M11" s="2">
        <v>10</v>
      </c>
    </row>
    <row r="12" spans="1:13">
      <c r="A12" t="s">
        <v>41</v>
      </c>
      <c r="B12" t="s">
        <v>42</v>
      </c>
      <c r="C12" t="s">
        <v>28</v>
      </c>
      <c r="D12" s="1">
        <v>45362</v>
      </c>
      <c r="E12" t="s">
        <v>18</v>
      </c>
      <c r="F12" s="2">
        <v>15</v>
      </c>
      <c r="G12" t="s">
        <v>17</v>
      </c>
      <c r="H12" t="s">
        <v>18</v>
      </c>
      <c r="I12" s="2">
        <v>10</v>
      </c>
      <c r="J12" t="s">
        <v>18</v>
      </c>
      <c r="K12" s="2">
        <v>20</v>
      </c>
      <c r="L12" s="2">
        <v>35</v>
      </c>
      <c r="M12" s="2">
        <v>10</v>
      </c>
    </row>
    <row r="13" spans="1:13">
      <c r="A13" t="s">
        <v>43</v>
      </c>
      <c r="B13" t="s">
        <v>44</v>
      </c>
      <c r="C13" t="s">
        <v>28</v>
      </c>
      <c r="D13" s="1">
        <v>45369</v>
      </c>
      <c r="E13" t="s">
        <v>16</v>
      </c>
      <c r="F13" s="2">
        <v>20</v>
      </c>
      <c r="G13" t="s">
        <v>25</v>
      </c>
      <c r="H13" t="s">
        <v>18</v>
      </c>
      <c r="I13" s="2">
        <v>10</v>
      </c>
      <c r="J13" t="s">
        <v>18</v>
      </c>
      <c r="K13" s="2">
        <v>20</v>
      </c>
      <c r="L13" s="2">
        <v>10</v>
      </c>
      <c r="M13" s="2">
        <v>40</v>
      </c>
    </row>
    <row r="14" spans="1:13">
      <c r="A14" t="s">
        <v>45</v>
      </c>
      <c r="B14" t="s">
        <v>46</v>
      </c>
      <c r="C14" t="s">
        <v>15</v>
      </c>
      <c r="D14" s="1">
        <v>45376</v>
      </c>
      <c r="E14" t="s">
        <v>16</v>
      </c>
      <c r="F14" s="2">
        <v>30</v>
      </c>
      <c r="G14" t="s">
        <v>25</v>
      </c>
      <c r="H14" t="s">
        <v>18</v>
      </c>
      <c r="I14" s="2">
        <v>10</v>
      </c>
      <c r="J14" t="s">
        <v>16</v>
      </c>
      <c r="K14" s="2">
        <v>0</v>
      </c>
      <c r="L14" s="2">
        <v>0</v>
      </c>
      <c r="M14" s="2">
        <v>40</v>
      </c>
    </row>
    <row r="15" spans="1:13">
      <c r="A15" t="s">
        <v>47</v>
      </c>
      <c r="B15" t="s">
        <v>48</v>
      </c>
      <c r="C15" t="s">
        <v>15</v>
      </c>
      <c r="D15" s="1">
        <v>45383</v>
      </c>
      <c r="E15" t="s">
        <v>16</v>
      </c>
      <c r="F15" s="2">
        <v>30</v>
      </c>
      <c r="G15" t="s">
        <v>21</v>
      </c>
      <c r="H15" t="s">
        <v>18</v>
      </c>
      <c r="I15" s="2">
        <v>10</v>
      </c>
      <c r="J15" t="s">
        <v>18</v>
      </c>
      <c r="K15" s="2">
        <v>20</v>
      </c>
      <c r="L15" s="2">
        <v>20</v>
      </c>
      <c r="M15" s="2">
        <v>40</v>
      </c>
    </row>
    <row r="16" spans="1:13">
      <c r="A16" t="s">
        <v>49</v>
      </c>
      <c r="B16" t="s">
        <v>50</v>
      </c>
      <c r="C16" t="s">
        <v>15</v>
      </c>
      <c r="D16" s="1">
        <v>45390</v>
      </c>
      <c r="E16" t="s">
        <v>16</v>
      </c>
      <c r="F16" s="2">
        <v>35</v>
      </c>
      <c r="G16" t="s">
        <v>21</v>
      </c>
      <c r="H16" t="s">
        <v>18</v>
      </c>
      <c r="I16" s="2">
        <v>10</v>
      </c>
      <c r="J16" t="s">
        <v>18</v>
      </c>
      <c r="K16" s="2">
        <v>20</v>
      </c>
      <c r="L16" s="2">
        <v>55</v>
      </c>
      <c r="M16" s="2">
        <v>10</v>
      </c>
    </row>
    <row r="17" spans="1:13">
      <c r="A17" t="s">
        <v>51</v>
      </c>
      <c r="B17" t="s">
        <v>52</v>
      </c>
      <c r="C17" t="s">
        <v>28</v>
      </c>
      <c r="D17" s="1">
        <v>45397</v>
      </c>
      <c r="E17" t="s">
        <v>18</v>
      </c>
      <c r="F17" s="2">
        <v>15</v>
      </c>
      <c r="G17" t="s">
        <v>25</v>
      </c>
      <c r="H17" t="s">
        <v>18</v>
      </c>
      <c r="I17" s="2">
        <v>10</v>
      </c>
      <c r="J17" t="s">
        <v>18</v>
      </c>
      <c r="K17" s="2">
        <v>20</v>
      </c>
      <c r="L17" s="2">
        <v>5</v>
      </c>
      <c r="M17" s="2">
        <v>40</v>
      </c>
    </row>
    <row r="18" spans="1:13">
      <c r="A18" t="s">
        <v>53</v>
      </c>
      <c r="B18" t="s">
        <v>54</v>
      </c>
      <c r="C18" t="s">
        <v>28</v>
      </c>
      <c r="D18" s="1">
        <v>45404</v>
      </c>
      <c r="E18" t="s">
        <v>18</v>
      </c>
      <c r="F18" s="2">
        <v>20</v>
      </c>
      <c r="G18" t="s">
        <v>25</v>
      </c>
      <c r="H18" t="s">
        <v>18</v>
      </c>
      <c r="I18" s="2">
        <v>10</v>
      </c>
      <c r="J18" t="s">
        <v>18</v>
      </c>
      <c r="K18" s="2">
        <v>20</v>
      </c>
      <c r="L18" s="2">
        <v>40</v>
      </c>
      <c r="M18" s="2">
        <v>10</v>
      </c>
    </row>
    <row r="19" spans="1:13">
      <c r="A19" t="s">
        <v>55</v>
      </c>
      <c r="B19" t="s">
        <v>56</v>
      </c>
      <c r="C19" t="s">
        <v>15</v>
      </c>
      <c r="D19" s="1">
        <v>45411</v>
      </c>
      <c r="E19" t="s">
        <v>16</v>
      </c>
      <c r="F19" s="2">
        <v>25</v>
      </c>
      <c r="G19" t="s">
        <v>17</v>
      </c>
      <c r="H19" t="s">
        <v>18</v>
      </c>
      <c r="I19" s="2">
        <v>10</v>
      </c>
      <c r="J19" t="s">
        <v>18</v>
      </c>
      <c r="K19" s="2">
        <v>20</v>
      </c>
      <c r="L19" s="2">
        <v>45</v>
      </c>
      <c r="M19" s="2">
        <v>10</v>
      </c>
    </row>
    <row r="20" spans="1:13">
      <c r="A20" t="s">
        <v>57</v>
      </c>
      <c r="B20" t="s">
        <v>58</v>
      </c>
      <c r="C20" t="s">
        <v>15</v>
      </c>
      <c r="D20" s="1">
        <v>45418</v>
      </c>
      <c r="E20" t="s">
        <v>18</v>
      </c>
      <c r="F20" s="2">
        <v>30</v>
      </c>
      <c r="G20" t="s">
        <v>17</v>
      </c>
      <c r="H20" t="s">
        <v>18</v>
      </c>
      <c r="I20" s="2">
        <v>10</v>
      </c>
      <c r="J20" t="s">
        <v>18</v>
      </c>
      <c r="K20" s="2">
        <v>20</v>
      </c>
      <c r="L20" s="2">
        <v>20</v>
      </c>
      <c r="M20" s="2">
        <v>40</v>
      </c>
    </row>
    <row r="21" spans="1:13">
      <c r="A21" t="s">
        <v>59</v>
      </c>
      <c r="B21" t="s">
        <v>60</v>
      </c>
      <c r="C21" t="s">
        <v>24</v>
      </c>
      <c r="D21" s="1">
        <v>45425</v>
      </c>
      <c r="E21" t="s">
        <v>18</v>
      </c>
      <c r="F21" s="2">
        <v>35</v>
      </c>
      <c r="G21" t="s">
        <v>17</v>
      </c>
      <c r="H21" t="s">
        <v>18</v>
      </c>
      <c r="I21" s="2">
        <v>10</v>
      </c>
      <c r="J21" t="s">
        <v>18</v>
      </c>
      <c r="K21" s="2">
        <v>20</v>
      </c>
      <c r="L21" s="2">
        <v>25</v>
      </c>
      <c r="M21" s="2">
        <v>40</v>
      </c>
    </row>
    <row r="22" spans="1:13">
      <c r="A22" t="s">
        <v>61</v>
      </c>
      <c r="B22" t="s">
        <v>62</v>
      </c>
      <c r="C22" t="s">
        <v>28</v>
      </c>
      <c r="D22" s="1">
        <v>45432</v>
      </c>
      <c r="E22" t="s">
        <v>18</v>
      </c>
      <c r="F22" s="2">
        <v>15</v>
      </c>
      <c r="G22" t="s">
        <v>25</v>
      </c>
      <c r="H22" t="s">
        <v>18</v>
      </c>
      <c r="I22" s="2">
        <v>10</v>
      </c>
      <c r="J22" t="s">
        <v>18</v>
      </c>
      <c r="K22" s="2">
        <v>20</v>
      </c>
      <c r="L22" s="2">
        <v>35</v>
      </c>
      <c r="M22" s="2">
        <v>10</v>
      </c>
    </row>
    <row r="23" spans="1:13">
      <c r="A23" t="s">
        <v>63</v>
      </c>
      <c r="B23" t="s">
        <v>64</v>
      </c>
      <c r="C23" t="s">
        <v>24</v>
      </c>
      <c r="D23" s="1">
        <v>45439</v>
      </c>
      <c r="E23" t="s">
        <v>16</v>
      </c>
      <c r="F23" s="2">
        <v>20</v>
      </c>
      <c r="G23" t="s">
        <v>25</v>
      </c>
      <c r="H23" t="s">
        <v>18</v>
      </c>
      <c r="I23" s="2">
        <v>10</v>
      </c>
      <c r="J23" t="s">
        <v>18</v>
      </c>
      <c r="K23" s="2">
        <v>20</v>
      </c>
      <c r="L23" s="2">
        <v>40</v>
      </c>
      <c r="M23" s="2">
        <v>10</v>
      </c>
    </row>
    <row r="24" spans="1:13">
      <c r="A24" t="s">
        <v>65</v>
      </c>
      <c r="B24" t="s">
        <v>66</v>
      </c>
      <c r="C24" t="s">
        <v>15</v>
      </c>
      <c r="D24" s="1">
        <v>45446</v>
      </c>
      <c r="E24" t="s">
        <v>18</v>
      </c>
      <c r="F24" s="2">
        <v>30</v>
      </c>
      <c r="G24" t="s">
        <v>21</v>
      </c>
      <c r="H24" t="s">
        <v>18</v>
      </c>
      <c r="I24" s="2">
        <v>10</v>
      </c>
      <c r="J24" t="s">
        <v>16</v>
      </c>
      <c r="K24" s="2">
        <v>0</v>
      </c>
      <c r="L24" s="2">
        <v>0</v>
      </c>
      <c r="M24" s="2">
        <v>40</v>
      </c>
    </row>
    <row r="25" spans="1:13">
      <c r="A25" t="s">
        <v>67</v>
      </c>
      <c r="B25" t="s">
        <v>68</v>
      </c>
      <c r="C25" t="s">
        <v>28</v>
      </c>
      <c r="D25" s="1">
        <v>45453</v>
      </c>
      <c r="E25" t="s">
        <v>18</v>
      </c>
      <c r="F25" s="2">
        <v>30</v>
      </c>
      <c r="G25" t="s">
        <v>17</v>
      </c>
      <c r="H25" t="s">
        <v>18</v>
      </c>
      <c r="I25" s="2">
        <v>10</v>
      </c>
      <c r="J25" t="s">
        <v>18</v>
      </c>
      <c r="K25" s="2">
        <v>20</v>
      </c>
      <c r="L25" s="2">
        <v>20</v>
      </c>
      <c r="M25" s="2">
        <v>40</v>
      </c>
    </row>
    <row r="26" spans="1:13">
      <c r="A26" t="s">
        <v>69</v>
      </c>
      <c r="B26" t="s">
        <v>70</v>
      </c>
      <c r="C26" t="s">
        <v>24</v>
      </c>
      <c r="D26" s="1">
        <v>45460</v>
      </c>
      <c r="E26" t="s">
        <v>18</v>
      </c>
      <c r="F26" s="2">
        <v>35</v>
      </c>
      <c r="G26" t="s">
        <v>25</v>
      </c>
      <c r="H26" t="s">
        <v>18</v>
      </c>
      <c r="I26" s="2">
        <v>10</v>
      </c>
      <c r="J26" t="s">
        <v>18</v>
      </c>
      <c r="K26" s="2">
        <v>20</v>
      </c>
      <c r="L26" s="2">
        <v>25</v>
      </c>
      <c r="M26" s="2">
        <v>40</v>
      </c>
    </row>
    <row r="27" spans="1:13">
      <c r="A27" t="s">
        <v>71</v>
      </c>
      <c r="B27" t="s">
        <v>72</v>
      </c>
      <c r="C27" t="s">
        <v>24</v>
      </c>
      <c r="D27" s="1">
        <v>45467</v>
      </c>
      <c r="E27" t="s">
        <v>16</v>
      </c>
      <c r="F27" s="2">
        <v>15</v>
      </c>
      <c r="G27" t="s">
        <v>21</v>
      </c>
      <c r="H27" t="s">
        <v>18</v>
      </c>
      <c r="I27" s="2">
        <v>10</v>
      </c>
      <c r="J27" t="s">
        <v>16</v>
      </c>
      <c r="K27" s="2">
        <v>0</v>
      </c>
      <c r="L27" s="2">
        <v>15</v>
      </c>
      <c r="M27" s="2">
        <v>10</v>
      </c>
    </row>
    <row r="28" spans="1:13">
      <c r="A28" t="s">
        <v>73</v>
      </c>
      <c r="B28" t="s">
        <v>74</v>
      </c>
      <c r="C28" t="s">
        <v>24</v>
      </c>
      <c r="D28" s="1">
        <v>45474</v>
      </c>
      <c r="E28" t="s">
        <v>16</v>
      </c>
      <c r="F28" s="2">
        <v>20</v>
      </c>
      <c r="G28" t="s">
        <v>21</v>
      </c>
      <c r="H28" t="s">
        <v>18</v>
      </c>
      <c r="I28" s="2">
        <v>10</v>
      </c>
      <c r="J28" t="s">
        <v>18</v>
      </c>
      <c r="K28" s="2">
        <v>20</v>
      </c>
      <c r="L28" s="2">
        <v>10</v>
      </c>
      <c r="M28" s="2">
        <v>40</v>
      </c>
    </row>
    <row r="29" spans="1:13">
      <c r="A29" t="s">
        <v>75</v>
      </c>
      <c r="B29" t="s">
        <v>76</v>
      </c>
      <c r="C29" t="s">
        <v>24</v>
      </c>
      <c r="D29" s="1">
        <v>45481</v>
      </c>
      <c r="E29" t="s">
        <v>18</v>
      </c>
      <c r="F29" s="2">
        <v>30</v>
      </c>
      <c r="G29" t="s">
        <v>21</v>
      </c>
      <c r="H29" t="s">
        <v>18</v>
      </c>
      <c r="I29" s="2">
        <v>10</v>
      </c>
      <c r="J29" t="s">
        <v>16</v>
      </c>
      <c r="K29" s="2">
        <v>0</v>
      </c>
      <c r="L29" s="2">
        <v>0</v>
      </c>
      <c r="M29" s="2">
        <v>40</v>
      </c>
    </row>
    <row r="30" spans="1:13">
      <c r="A30" t="s">
        <v>77</v>
      </c>
      <c r="B30" t="s">
        <v>78</v>
      </c>
      <c r="C30" t="s">
        <v>28</v>
      </c>
      <c r="D30" s="1">
        <v>45488</v>
      </c>
      <c r="E30" t="s">
        <v>16</v>
      </c>
      <c r="F30" s="2">
        <v>30</v>
      </c>
      <c r="G30" t="s">
        <v>25</v>
      </c>
      <c r="H30" t="s">
        <v>18</v>
      </c>
      <c r="I30" s="2">
        <v>10</v>
      </c>
      <c r="J30" t="s">
        <v>16</v>
      </c>
      <c r="K30" s="2">
        <v>0</v>
      </c>
      <c r="L30" s="2">
        <v>0</v>
      </c>
      <c r="M30" s="2">
        <v>40</v>
      </c>
    </row>
    <row r="31" spans="1:13">
      <c r="A31" t="s">
        <v>79</v>
      </c>
      <c r="B31" t="s">
        <v>80</v>
      </c>
      <c r="C31" t="s">
        <v>24</v>
      </c>
      <c r="D31" s="1">
        <v>45495</v>
      </c>
      <c r="E31" t="s">
        <v>18</v>
      </c>
      <c r="F31" s="2">
        <v>35</v>
      </c>
      <c r="G31" t="s">
        <v>25</v>
      </c>
      <c r="H31" t="s">
        <v>18</v>
      </c>
      <c r="I31" s="2">
        <v>10</v>
      </c>
      <c r="J31" t="s">
        <v>16</v>
      </c>
      <c r="K31" s="2">
        <v>0</v>
      </c>
      <c r="L31" s="2">
        <v>5</v>
      </c>
      <c r="M31" s="2">
        <v>40</v>
      </c>
    </row>
    <row r="32" spans="1:13">
      <c r="A32" t="s">
        <v>81</v>
      </c>
      <c r="B32" t="s">
        <v>82</v>
      </c>
      <c r="C32" t="s">
        <v>15</v>
      </c>
      <c r="D32" s="1">
        <v>45502</v>
      </c>
      <c r="E32" t="s">
        <v>18</v>
      </c>
      <c r="F32" s="2">
        <v>15</v>
      </c>
      <c r="G32" t="s">
        <v>21</v>
      </c>
      <c r="H32" t="s">
        <v>18</v>
      </c>
      <c r="I32" s="2">
        <v>10</v>
      </c>
      <c r="J32" t="s">
        <v>16</v>
      </c>
      <c r="K32" s="2">
        <v>0</v>
      </c>
      <c r="L32" s="2">
        <v>15</v>
      </c>
      <c r="M32" s="2">
        <v>10</v>
      </c>
    </row>
    <row r="33" spans="1:13">
      <c r="A33" t="s">
        <v>83</v>
      </c>
      <c r="B33" t="s">
        <v>84</v>
      </c>
      <c r="C33" t="s">
        <v>24</v>
      </c>
      <c r="D33" s="1">
        <v>45509</v>
      </c>
      <c r="E33" t="s">
        <v>16</v>
      </c>
      <c r="F33" s="2">
        <v>20</v>
      </c>
      <c r="G33" t="s">
        <v>21</v>
      </c>
      <c r="H33" t="s">
        <v>18</v>
      </c>
      <c r="I33" s="2">
        <v>10</v>
      </c>
      <c r="J33" t="s">
        <v>16</v>
      </c>
      <c r="K33" s="2">
        <v>0</v>
      </c>
      <c r="L33" s="2">
        <v>20</v>
      </c>
      <c r="M33" s="2">
        <v>10</v>
      </c>
    </row>
    <row r="34" spans="1:13">
      <c r="A34" t="s">
        <v>85</v>
      </c>
      <c r="B34" t="s">
        <v>86</v>
      </c>
      <c r="C34" t="s">
        <v>15</v>
      </c>
      <c r="D34" s="1">
        <v>45516</v>
      </c>
      <c r="E34" t="s">
        <v>16</v>
      </c>
      <c r="F34" s="2">
        <v>30</v>
      </c>
      <c r="G34" t="s">
        <v>21</v>
      </c>
      <c r="H34" t="s">
        <v>18</v>
      </c>
      <c r="I34" s="2">
        <v>10</v>
      </c>
      <c r="J34" t="s">
        <v>16</v>
      </c>
      <c r="K34" s="2">
        <v>0</v>
      </c>
      <c r="L34" s="2">
        <v>0</v>
      </c>
      <c r="M34" s="2">
        <v>40</v>
      </c>
    </row>
    <row r="35" spans="1:13">
      <c r="A35" t="s">
        <v>87</v>
      </c>
      <c r="B35" t="s">
        <v>88</v>
      </c>
      <c r="C35" t="s">
        <v>28</v>
      </c>
      <c r="D35" s="1">
        <v>45523</v>
      </c>
      <c r="E35" t="s">
        <v>16</v>
      </c>
      <c r="F35" s="2">
        <v>30</v>
      </c>
      <c r="G35" t="s">
        <v>21</v>
      </c>
      <c r="H35" t="s">
        <v>18</v>
      </c>
      <c r="I35" s="2">
        <v>10</v>
      </c>
      <c r="J35" t="s">
        <v>18</v>
      </c>
      <c r="K35" s="2">
        <v>20</v>
      </c>
      <c r="L35" s="2">
        <v>20</v>
      </c>
      <c r="M35" s="2">
        <v>40</v>
      </c>
    </row>
    <row r="36" spans="1:13">
      <c r="A36" t="s">
        <v>89</v>
      </c>
      <c r="B36" t="s">
        <v>90</v>
      </c>
      <c r="C36" t="s">
        <v>15</v>
      </c>
      <c r="D36" s="1">
        <v>45530</v>
      </c>
      <c r="E36" t="s">
        <v>18</v>
      </c>
      <c r="F36" s="2">
        <v>35</v>
      </c>
      <c r="G36" t="s">
        <v>17</v>
      </c>
      <c r="H36" t="s">
        <v>18</v>
      </c>
      <c r="I36" s="2">
        <v>10</v>
      </c>
      <c r="J36" t="s">
        <v>18</v>
      </c>
      <c r="K36" s="2">
        <v>20</v>
      </c>
      <c r="L36" s="2">
        <v>55</v>
      </c>
      <c r="M36" s="2">
        <v>10</v>
      </c>
    </row>
    <row r="37" spans="1:13">
      <c r="A37" t="s">
        <v>91</v>
      </c>
      <c r="B37" t="s">
        <v>92</v>
      </c>
      <c r="C37" t="s">
        <v>15</v>
      </c>
      <c r="D37" s="1">
        <v>45537</v>
      </c>
      <c r="E37" t="s">
        <v>18</v>
      </c>
      <c r="F37" s="2">
        <v>15</v>
      </c>
      <c r="G37" t="s">
        <v>25</v>
      </c>
      <c r="H37" t="s">
        <v>18</v>
      </c>
      <c r="I37" s="2">
        <v>10</v>
      </c>
      <c r="J37" t="s">
        <v>18</v>
      </c>
      <c r="K37" s="2">
        <v>20</v>
      </c>
      <c r="L37" s="2">
        <v>35</v>
      </c>
      <c r="M37" s="2">
        <v>10</v>
      </c>
    </row>
    <row r="38" spans="1:13">
      <c r="A38" t="s">
        <v>93</v>
      </c>
      <c r="B38" t="s">
        <v>94</v>
      </c>
      <c r="C38" t="s">
        <v>24</v>
      </c>
      <c r="D38" s="1">
        <v>45544</v>
      </c>
      <c r="E38" t="s">
        <v>16</v>
      </c>
      <c r="F38" s="2">
        <v>20</v>
      </c>
      <c r="G38" t="s">
        <v>25</v>
      </c>
      <c r="H38" t="s">
        <v>18</v>
      </c>
      <c r="I38" s="2">
        <v>10</v>
      </c>
      <c r="J38" t="s">
        <v>18</v>
      </c>
      <c r="K38" s="2">
        <v>20</v>
      </c>
      <c r="L38" s="2">
        <v>40</v>
      </c>
      <c r="M38" s="2">
        <v>10</v>
      </c>
    </row>
    <row r="39" spans="1:13">
      <c r="A39" t="s">
        <v>95</v>
      </c>
      <c r="B39" t="s">
        <v>96</v>
      </c>
      <c r="C39" t="s">
        <v>24</v>
      </c>
      <c r="D39" s="1">
        <v>45551</v>
      </c>
      <c r="E39" t="s">
        <v>16</v>
      </c>
      <c r="F39" s="2">
        <v>25</v>
      </c>
      <c r="G39" t="s">
        <v>25</v>
      </c>
      <c r="H39" t="s">
        <v>18</v>
      </c>
      <c r="I39" s="2">
        <v>10</v>
      </c>
      <c r="J39" t="s">
        <v>18</v>
      </c>
      <c r="K39" s="2">
        <v>20</v>
      </c>
      <c r="L39" s="2">
        <v>45</v>
      </c>
      <c r="M39" s="2">
        <v>10</v>
      </c>
    </row>
    <row r="40" spans="1:13">
      <c r="A40" t="s">
        <v>97</v>
      </c>
      <c r="B40" t="s">
        <v>98</v>
      </c>
      <c r="C40" t="s">
        <v>28</v>
      </c>
      <c r="D40" s="1">
        <v>45558</v>
      </c>
      <c r="E40" t="s">
        <v>16</v>
      </c>
      <c r="F40" s="2">
        <v>30</v>
      </c>
      <c r="G40" t="s">
        <v>17</v>
      </c>
      <c r="H40" t="s">
        <v>18</v>
      </c>
      <c r="I40" s="2">
        <v>10</v>
      </c>
      <c r="J40" t="s">
        <v>16</v>
      </c>
      <c r="K40" s="2">
        <v>0</v>
      </c>
      <c r="L40" s="2">
        <v>3</v>
      </c>
      <c r="M40" s="2">
        <v>37</v>
      </c>
    </row>
    <row r="41" spans="1:13">
      <c r="A41" t="s">
        <v>99</v>
      </c>
      <c r="B41" t="s">
        <v>100</v>
      </c>
      <c r="C41" t="s">
        <v>24</v>
      </c>
      <c r="D41" s="1">
        <v>45565</v>
      </c>
      <c r="E41" t="s">
        <v>18</v>
      </c>
      <c r="F41" s="2">
        <v>35</v>
      </c>
      <c r="G41" t="s">
        <v>21</v>
      </c>
      <c r="H41" t="s">
        <v>18</v>
      </c>
      <c r="I41" s="2">
        <v>10</v>
      </c>
      <c r="J41" t="s">
        <v>18</v>
      </c>
      <c r="K41" s="2">
        <v>20</v>
      </c>
      <c r="L41" s="2">
        <v>25</v>
      </c>
      <c r="M41" s="2">
        <v>40</v>
      </c>
    </row>
    <row r="42" spans="1:13">
      <c r="A42" t="s">
        <v>101</v>
      </c>
      <c r="B42" t="s">
        <v>102</v>
      </c>
      <c r="C42" t="s">
        <v>24</v>
      </c>
      <c r="D42" s="1">
        <v>45572</v>
      </c>
      <c r="E42" t="s">
        <v>16</v>
      </c>
      <c r="F42" s="2">
        <v>15</v>
      </c>
      <c r="G42" t="s">
        <v>17</v>
      </c>
      <c r="H42" t="s">
        <v>18</v>
      </c>
      <c r="I42" s="2">
        <v>10</v>
      </c>
      <c r="J42" t="s">
        <v>18</v>
      </c>
      <c r="K42" s="2">
        <v>20</v>
      </c>
      <c r="L42" s="2">
        <v>5</v>
      </c>
      <c r="M42" s="2">
        <v>40</v>
      </c>
    </row>
    <row r="43" spans="1:13">
      <c r="A43" t="s">
        <v>103</v>
      </c>
      <c r="B43" t="s">
        <v>104</v>
      </c>
      <c r="C43" t="s">
        <v>24</v>
      </c>
      <c r="D43" s="1">
        <v>45579</v>
      </c>
      <c r="E43" t="s">
        <v>16</v>
      </c>
      <c r="F43" s="2">
        <v>30</v>
      </c>
      <c r="G43" t="s">
        <v>17</v>
      </c>
      <c r="H43" t="s">
        <v>18</v>
      </c>
      <c r="I43" s="2">
        <v>10</v>
      </c>
      <c r="J43" t="s">
        <v>16</v>
      </c>
      <c r="K43" s="2">
        <v>0</v>
      </c>
      <c r="L43" s="2">
        <v>0</v>
      </c>
      <c r="M43" s="2">
        <v>40</v>
      </c>
    </row>
    <row r="44" spans="1:13">
      <c r="A44" t="s">
        <v>105</v>
      </c>
      <c r="B44" t="s">
        <v>106</v>
      </c>
      <c r="C44" t="s">
        <v>24</v>
      </c>
      <c r="D44" s="1">
        <v>45586</v>
      </c>
      <c r="E44" t="s">
        <v>16</v>
      </c>
      <c r="F44" s="2">
        <v>25</v>
      </c>
      <c r="G44" t="s">
        <v>21</v>
      </c>
      <c r="H44" t="s">
        <v>18</v>
      </c>
      <c r="I44" s="2">
        <v>10</v>
      </c>
      <c r="J44" t="s">
        <v>16</v>
      </c>
      <c r="K44" s="2">
        <v>0</v>
      </c>
      <c r="L44" s="2">
        <v>25</v>
      </c>
      <c r="M44" s="2">
        <v>10</v>
      </c>
    </row>
    <row r="45" spans="1:13">
      <c r="A45" t="s">
        <v>107</v>
      </c>
      <c r="B45" t="s">
        <v>108</v>
      </c>
      <c r="C45" t="s">
        <v>28</v>
      </c>
      <c r="D45" s="1">
        <v>45593</v>
      </c>
      <c r="E45" t="s">
        <v>16</v>
      </c>
      <c r="F45" s="2">
        <v>30</v>
      </c>
      <c r="G45" t="s">
        <v>17</v>
      </c>
      <c r="H45" t="s">
        <v>18</v>
      </c>
      <c r="I45" s="2">
        <v>10</v>
      </c>
      <c r="J45" t="s">
        <v>18</v>
      </c>
      <c r="K45" s="2">
        <v>20</v>
      </c>
      <c r="L45" s="2">
        <v>20</v>
      </c>
      <c r="M45" s="2">
        <v>40</v>
      </c>
    </row>
    <row r="46" spans="1:13">
      <c r="A46" t="s">
        <v>109</v>
      </c>
      <c r="B46" t="s">
        <v>110</v>
      </c>
      <c r="C46" t="s">
        <v>24</v>
      </c>
      <c r="D46" s="1">
        <v>45600</v>
      </c>
      <c r="E46" t="s">
        <v>18</v>
      </c>
      <c r="F46" s="2">
        <v>35</v>
      </c>
      <c r="G46" t="s">
        <v>25</v>
      </c>
      <c r="H46" t="s">
        <v>18</v>
      </c>
      <c r="I46" s="2">
        <v>10</v>
      </c>
      <c r="J46" t="s">
        <v>18</v>
      </c>
      <c r="K46" s="2">
        <v>20</v>
      </c>
      <c r="L46" s="2">
        <v>25</v>
      </c>
      <c r="M46" s="2">
        <v>40</v>
      </c>
    </row>
    <row r="47" spans="1:13">
      <c r="A47" t="s">
        <v>111</v>
      </c>
      <c r="B47" t="s">
        <v>112</v>
      </c>
      <c r="C47" t="s">
        <v>24</v>
      </c>
      <c r="D47" s="1">
        <v>45607</v>
      </c>
      <c r="E47" t="s">
        <v>18</v>
      </c>
      <c r="F47" s="2">
        <v>15</v>
      </c>
      <c r="G47" t="s">
        <v>25</v>
      </c>
      <c r="H47" t="s">
        <v>18</v>
      </c>
      <c r="I47" s="2">
        <v>10</v>
      </c>
      <c r="J47" t="s">
        <v>18</v>
      </c>
      <c r="K47" s="2">
        <v>20</v>
      </c>
      <c r="L47" s="2">
        <v>35</v>
      </c>
      <c r="M47" s="2">
        <v>10</v>
      </c>
    </row>
    <row r="48" spans="1:13">
      <c r="A48" t="s">
        <v>113</v>
      </c>
      <c r="B48" t="s">
        <v>114</v>
      </c>
      <c r="C48" t="s">
        <v>24</v>
      </c>
      <c r="D48" s="1">
        <v>45614</v>
      </c>
      <c r="E48" t="s">
        <v>16</v>
      </c>
      <c r="F48" s="2">
        <v>20</v>
      </c>
      <c r="G48" t="s">
        <v>21</v>
      </c>
      <c r="H48" t="s">
        <v>18</v>
      </c>
      <c r="I48" s="2">
        <v>10</v>
      </c>
      <c r="J48" t="s">
        <v>16</v>
      </c>
      <c r="K48" s="2">
        <v>0</v>
      </c>
      <c r="L48" s="2">
        <v>20</v>
      </c>
      <c r="M48" s="2">
        <v>10</v>
      </c>
    </row>
    <row r="49" spans="1:13">
      <c r="A49" t="s">
        <v>115</v>
      </c>
      <c r="B49" t="s">
        <v>116</v>
      </c>
      <c r="C49" t="s">
        <v>24</v>
      </c>
      <c r="D49" s="1">
        <v>45621</v>
      </c>
      <c r="E49" t="s">
        <v>18</v>
      </c>
      <c r="F49" s="2">
        <v>30</v>
      </c>
      <c r="G49" t="s">
        <v>25</v>
      </c>
      <c r="H49" t="s">
        <v>18</v>
      </c>
      <c r="I49" s="2">
        <v>10</v>
      </c>
      <c r="J49" t="s">
        <v>16</v>
      </c>
      <c r="K49" s="2">
        <v>0</v>
      </c>
      <c r="L49" s="2">
        <v>0</v>
      </c>
      <c r="M49" s="2">
        <v>40</v>
      </c>
    </row>
    <row r="50" spans="1:13">
      <c r="A50" t="s">
        <v>117</v>
      </c>
      <c r="B50" t="s">
        <v>118</v>
      </c>
      <c r="C50" t="s">
        <v>28</v>
      </c>
      <c r="D50" s="1">
        <v>45628</v>
      </c>
      <c r="E50" t="s">
        <v>16</v>
      </c>
      <c r="F50" s="2">
        <v>30</v>
      </c>
      <c r="G50" t="s">
        <v>21</v>
      </c>
      <c r="H50" t="s">
        <v>18</v>
      </c>
      <c r="I50" s="2">
        <v>10</v>
      </c>
      <c r="J50" t="s">
        <v>18</v>
      </c>
      <c r="K50" s="2">
        <v>20</v>
      </c>
      <c r="L50" s="2">
        <v>20</v>
      </c>
      <c r="M50" s="2">
        <v>40</v>
      </c>
    </row>
    <row r="51" spans="1:13">
      <c r="A51" t="s">
        <v>119</v>
      </c>
      <c r="B51" t="s">
        <v>120</v>
      </c>
      <c r="C51" t="s">
        <v>15</v>
      </c>
      <c r="D51" s="1">
        <v>45635</v>
      </c>
      <c r="E51" t="s">
        <v>16</v>
      </c>
      <c r="F51" s="2">
        <v>35</v>
      </c>
      <c r="G51" t="s">
        <v>21</v>
      </c>
      <c r="H51" t="s">
        <v>18</v>
      </c>
      <c r="I51" s="2">
        <v>10</v>
      </c>
      <c r="J51" t="s">
        <v>18</v>
      </c>
      <c r="K51" s="2">
        <v>20</v>
      </c>
      <c r="L51" s="2">
        <v>55</v>
      </c>
      <c r="M51" s="2">
        <v>10</v>
      </c>
    </row>
    <row r="52" spans="1:13">
      <c r="A52" t="s">
        <v>121</v>
      </c>
      <c r="B52" t="s">
        <v>122</v>
      </c>
      <c r="C52" t="s">
        <v>15</v>
      </c>
      <c r="D52" s="1">
        <v>45642</v>
      </c>
      <c r="E52" t="s">
        <v>16</v>
      </c>
      <c r="F52" s="2">
        <v>30</v>
      </c>
      <c r="G52" t="s">
        <v>25</v>
      </c>
      <c r="H52" t="s">
        <v>18</v>
      </c>
      <c r="I52" s="2">
        <v>10</v>
      </c>
      <c r="J52" t="s">
        <v>16</v>
      </c>
      <c r="K52" s="2">
        <v>0</v>
      </c>
      <c r="L52" s="2">
        <v>0</v>
      </c>
      <c r="M52" s="2">
        <v>40</v>
      </c>
    </row>
    <row r="53" spans="1:13">
      <c r="A53" t="s">
        <v>123</v>
      </c>
      <c r="B53" t="s">
        <v>124</v>
      </c>
      <c r="C53" t="s">
        <v>15</v>
      </c>
      <c r="D53" s="1">
        <v>45298</v>
      </c>
      <c r="E53" t="s">
        <v>16</v>
      </c>
      <c r="F53" s="2">
        <v>20</v>
      </c>
      <c r="G53" t="s">
        <v>17</v>
      </c>
      <c r="H53" t="s">
        <v>18</v>
      </c>
      <c r="I53" s="2">
        <v>10</v>
      </c>
      <c r="J53" t="s">
        <v>16</v>
      </c>
      <c r="K53" s="2">
        <v>0</v>
      </c>
      <c r="L53" s="2">
        <v>20</v>
      </c>
      <c r="M53" s="2">
        <v>10</v>
      </c>
    </row>
    <row r="54" spans="1:13">
      <c r="A54" t="s">
        <v>125</v>
      </c>
      <c r="B54" t="s">
        <v>126</v>
      </c>
      <c r="C54" t="s">
        <v>15</v>
      </c>
      <c r="D54" s="1">
        <v>45305</v>
      </c>
      <c r="E54" t="s">
        <v>16</v>
      </c>
      <c r="F54" s="2">
        <v>25</v>
      </c>
      <c r="G54" t="s">
        <v>17</v>
      </c>
      <c r="H54" t="s">
        <v>18</v>
      </c>
      <c r="I54" s="2">
        <v>10</v>
      </c>
      <c r="J54" t="s">
        <v>16</v>
      </c>
      <c r="K54" s="2">
        <v>0</v>
      </c>
      <c r="L54" s="2">
        <v>25</v>
      </c>
      <c r="M54" s="2">
        <v>10</v>
      </c>
    </row>
    <row r="55" spans="1:13">
      <c r="A55" t="s">
        <v>127</v>
      </c>
      <c r="B55" t="s">
        <v>128</v>
      </c>
      <c r="C55" t="s">
        <v>28</v>
      </c>
      <c r="D55" s="1">
        <v>45312</v>
      </c>
      <c r="E55" t="s">
        <v>16</v>
      </c>
      <c r="F55" s="2">
        <v>30</v>
      </c>
      <c r="G55" t="s">
        <v>21</v>
      </c>
      <c r="H55" t="s">
        <v>18</v>
      </c>
      <c r="I55" s="2">
        <v>10</v>
      </c>
      <c r="J55" t="s">
        <v>18</v>
      </c>
      <c r="K55" s="2">
        <v>20</v>
      </c>
      <c r="L55" s="2">
        <v>20</v>
      </c>
      <c r="M55" s="2">
        <v>40</v>
      </c>
    </row>
    <row r="56" spans="1:13">
      <c r="A56" t="s">
        <v>129</v>
      </c>
      <c r="B56" t="s">
        <v>130</v>
      </c>
      <c r="C56" t="s">
        <v>15</v>
      </c>
      <c r="D56" s="1">
        <v>45319</v>
      </c>
      <c r="E56" t="s">
        <v>18</v>
      </c>
      <c r="F56" s="2">
        <v>35</v>
      </c>
      <c r="G56" t="s">
        <v>17</v>
      </c>
      <c r="H56" t="s">
        <v>18</v>
      </c>
      <c r="I56" s="2">
        <v>10</v>
      </c>
      <c r="J56" t="s">
        <v>16</v>
      </c>
      <c r="K56" s="2">
        <v>0</v>
      </c>
      <c r="L56" s="2">
        <v>5</v>
      </c>
      <c r="M56" s="2">
        <v>40</v>
      </c>
    </row>
    <row r="57" spans="1:13">
      <c r="A57" t="s">
        <v>131</v>
      </c>
      <c r="B57" t="s">
        <v>132</v>
      </c>
      <c r="C57" t="s">
        <v>24</v>
      </c>
      <c r="D57" s="1">
        <v>45326</v>
      </c>
      <c r="E57" t="s">
        <v>18</v>
      </c>
      <c r="F57" s="2">
        <v>15</v>
      </c>
      <c r="G57" t="s">
        <v>25</v>
      </c>
      <c r="H57" t="s">
        <v>18</v>
      </c>
      <c r="I57" s="2">
        <v>10</v>
      </c>
      <c r="J57" t="s">
        <v>18</v>
      </c>
      <c r="K57" s="2">
        <v>20</v>
      </c>
      <c r="L57" s="2">
        <v>5</v>
      </c>
      <c r="M57" s="2">
        <v>40</v>
      </c>
    </row>
    <row r="58" spans="1:13">
      <c r="A58" t="s">
        <v>133</v>
      </c>
      <c r="B58" t="s">
        <v>134</v>
      </c>
      <c r="C58" t="s">
        <v>15</v>
      </c>
      <c r="D58" s="1">
        <v>45333</v>
      </c>
      <c r="E58" t="s">
        <v>16</v>
      </c>
      <c r="F58" s="2">
        <v>20</v>
      </c>
      <c r="G58" t="s">
        <v>17</v>
      </c>
      <c r="H58" t="s">
        <v>18</v>
      </c>
      <c r="I58" s="2">
        <v>10</v>
      </c>
      <c r="J58" t="s">
        <v>18</v>
      </c>
      <c r="K58" s="2">
        <v>20</v>
      </c>
      <c r="L58" s="2">
        <v>10</v>
      </c>
      <c r="M58" s="2">
        <v>40</v>
      </c>
    </row>
    <row r="59" spans="1:13">
      <c r="A59" t="s">
        <v>135</v>
      </c>
      <c r="B59" t="s">
        <v>136</v>
      </c>
      <c r="C59" t="s">
        <v>24</v>
      </c>
      <c r="D59" s="1">
        <v>45340</v>
      </c>
      <c r="E59" t="s">
        <v>18</v>
      </c>
      <c r="F59" s="2">
        <v>25</v>
      </c>
      <c r="G59" t="s">
        <v>21</v>
      </c>
      <c r="H59" t="s">
        <v>18</v>
      </c>
      <c r="I59" s="2">
        <v>10</v>
      </c>
      <c r="J59" t="s">
        <v>18</v>
      </c>
      <c r="K59" s="2">
        <v>20</v>
      </c>
      <c r="L59" s="2">
        <v>15</v>
      </c>
      <c r="M59" s="2">
        <v>40</v>
      </c>
    </row>
    <row r="60" spans="1:13">
      <c r="A60" t="s">
        <v>137</v>
      </c>
      <c r="B60" t="s">
        <v>138</v>
      </c>
      <c r="C60" t="s">
        <v>28</v>
      </c>
      <c r="D60" s="1">
        <v>45347</v>
      </c>
      <c r="E60" t="s">
        <v>16</v>
      </c>
      <c r="F60" s="2">
        <v>30</v>
      </c>
      <c r="G60" t="s">
        <v>21</v>
      </c>
      <c r="H60" t="s">
        <v>18</v>
      </c>
      <c r="I60" s="2">
        <v>10</v>
      </c>
      <c r="J60" t="s">
        <v>18</v>
      </c>
      <c r="K60" s="2">
        <v>20</v>
      </c>
      <c r="L60" s="2">
        <v>50</v>
      </c>
      <c r="M60" s="2">
        <v>10</v>
      </c>
    </row>
    <row r="61" spans="1:13">
      <c r="A61" t="s">
        <v>139</v>
      </c>
      <c r="B61" t="s">
        <v>140</v>
      </c>
      <c r="C61" t="s">
        <v>24</v>
      </c>
      <c r="D61" s="1">
        <v>45354</v>
      </c>
      <c r="E61" t="s">
        <v>16</v>
      </c>
      <c r="F61" s="2">
        <v>35</v>
      </c>
      <c r="G61" t="s">
        <v>25</v>
      </c>
      <c r="H61" t="s">
        <v>18</v>
      </c>
      <c r="I61" s="2">
        <v>10</v>
      </c>
      <c r="J61" t="s">
        <v>16</v>
      </c>
      <c r="K61" s="2">
        <v>0</v>
      </c>
      <c r="L61" s="2">
        <v>35</v>
      </c>
      <c r="M61" s="2">
        <v>10</v>
      </c>
    </row>
    <row r="62" spans="1:13">
      <c r="A62" t="s">
        <v>141</v>
      </c>
      <c r="B62" t="s">
        <v>142</v>
      </c>
      <c r="C62" t="s">
        <v>28</v>
      </c>
      <c r="D62" s="1">
        <v>45361</v>
      </c>
      <c r="E62" t="s">
        <v>18</v>
      </c>
      <c r="F62" s="2">
        <v>15</v>
      </c>
      <c r="G62" t="s">
        <v>21</v>
      </c>
      <c r="H62" t="s">
        <v>18</v>
      </c>
      <c r="I62" s="2">
        <v>10</v>
      </c>
      <c r="J62" t="s">
        <v>18</v>
      </c>
      <c r="K62" s="2">
        <v>20</v>
      </c>
      <c r="L62" s="2">
        <v>35</v>
      </c>
      <c r="M62" s="2">
        <v>10</v>
      </c>
    </row>
    <row r="63" spans="1:13">
      <c r="A63" t="s">
        <v>143</v>
      </c>
      <c r="B63" t="s">
        <v>144</v>
      </c>
      <c r="C63" t="s">
        <v>15</v>
      </c>
      <c r="D63" s="1">
        <v>45368</v>
      </c>
      <c r="E63" t="s">
        <v>18</v>
      </c>
      <c r="F63" s="2">
        <v>30</v>
      </c>
      <c r="G63" t="s">
        <v>17</v>
      </c>
      <c r="H63" t="s">
        <v>18</v>
      </c>
      <c r="I63" s="2">
        <v>10</v>
      </c>
      <c r="J63" t="s">
        <v>16</v>
      </c>
      <c r="K63" s="2">
        <v>0</v>
      </c>
      <c r="L63" s="2">
        <v>0</v>
      </c>
      <c r="M63" s="2">
        <v>40</v>
      </c>
    </row>
    <row r="64" spans="1:13">
      <c r="A64" t="s">
        <v>145</v>
      </c>
      <c r="B64" t="s">
        <v>146</v>
      </c>
      <c r="C64" t="s">
        <v>24</v>
      </c>
      <c r="D64" s="1">
        <v>45375</v>
      </c>
      <c r="E64" t="s">
        <v>16</v>
      </c>
      <c r="F64" s="2">
        <v>25</v>
      </c>
      <c r="G64" t="s">
        <v>21</v>
      </c>
      <c r="H64" t="s">
        <v>18</v>
      </c>
      <c r="I64" s="2">
        <v>10</v>
      </c>
      <c r="J64" t="s">
        <v>16</v>
      </c>
      <c r="K64" s="2">
        <v>0</v>
      </c>
      <c r="L64" s="2">
        <v>25</v>
      </c>
      <c r="M64" s="2">
        <v>10</v>
      </c>
    </row>
    <row r="65" spans="1:13">
      <c r="A65" t="s">
        <v>147</v>
      </c>
      <c r="B65" t="s">
        <v>148</v>
      </c>
      <c r="C65" t="s">
        <v>28</v>
      </c>
      <c r="D65" s="1">
        <v>45382</v>
      </c>
      <c r="E65" t="s">
        <v>18</v>
      </c>
      <c r="F65" s="2">
        <v>30</v>
      </c>
      <c r="G65" t="s">
        <v>17</v>
      </c>
      <c r="H65" t="s">
        <v>18</v>
      </c>
      <c r="I65" s="2">
        <v>10</v>
      </c>
      <c r="J65" t="s">
        <v>18</v>
      </c>
      <c r="K65" s="2">
        <v>20</v>
      </c>
      <c r="L65" s="2">
        <v>20</v>
      </c>
      <c r="M65" s="2">
        <v>40</v>
      </c>
    </row>
    <row r="66" spans="1:13">
      <c r="A66" t="s">
        <v>149</v>
      </c>
      <c r="B66" t="s">
        <v>150</v>
      </c>
      <c r="C66" t="s">
        <v>15</v>
      </c>
      <c r="D66" s="1">
        <v>45389</v>
      </c>
      <c r="E66" t="s">
        <v>18</v>
      </c>
      <c r="F66" s="2">
        <v>35</v>
      </c>
      <c r="G66" t="s">
        <v>25</v>
      </c>
      <c r="H66" t="s">
        <v>18</v>
      </c>
      <c r="I66" s="2">
        <v>10</v>
      </c>
      <c r="J66" t="s">
        <v>18</v>
      </c>
      <c r="K66" s="2">
        <v>20</v>
      </c>
      <c r="L66" s="2">
        <v>25</v>
      </c>
      <c r="M66" s="2">
        <v>40</v>
      </c>
    </row>
    <row r="67" spans="1:13">
      <c r="A67" t="s">
        <v>151</v>
      </c>
      <c r="B67" t="s">
        <v>152</v>
      </c>
      <c r="C67" t="s">
        <v>28</v>
      </c>
      <c r="D67" s="1">
        <v>45396</v>
      </c>
      <c r="E67" t="s">
        <v>16</v>
      </c>
      <c r="F67" s="2">
        <v>15</v>
      </c>
      <c r="G67" t="s">
        <v>21</v>
      </c>
      <c r="H67" t="s">
        <v>16</v>
      </c>
      <c r="I67" s="2">
        <v>0</v>
      </c>
      <c r="J67" t="s">
        <v>16</v>
      </c>
      <c r="K67" s="2">
        <v>0</v>
      </c>
      <c r="L67" s="2">
        <v>5</v>
      </c>
      <c r="M67" s="2">
        <v>10</v>
      </c>
    </row>
    <row r="68" spans="1:13">
      <c r="A68" t="s">
        <v>153</v>
      </c>
      <c r="B68" t="s">
        <v>154</v>
      </c>
      <c r="C68" t="s">
        <v>15</v>
      </c>
      <c r="D68" s="1">
        <v>45403</v>
      </c>
      <c r="E68" t="s">
        <v>16</v>
      </c>
      <c r="F68" s="2">
        <v>20</v>
      </c>
      <c r="G68" t="s">
        <v>17</v>
      </c>
      <c r="H68" t="s">
        <v>18</v>
      </c>
      <c r="I68" s="2">
        <v>10</v>
      </c>
      <c r="J68" t="s">
        <v>18</v>
      </c>
      <c r="K68" s="2">
        <v>20</v>
      </c>
      <c r="L68" s="2">
        <v>10</v>
      </c>
      <c r="M68" s="2">
        <v>40</v>
      </c>
    </row>
    <row r="69" spans="1:13">
      <c r="A69" t="s">
        <v>155</v>
      </c>
      <c r="B69" t="s">
        <v>156</v>
      </c>
      <c r="C69" t="s">
        <v>24</v>
      </c>
      <c r="D69" s="1">
        <v>45410</v>
      </c>
      <c r="E69" t="s">
        <v>18</v>
      </c>
      <c r="F69" s="2">
        <v>25</v>
      </c>
      <c r="G69" t="s">
        <v>25</v>
      </c>
      <c r="H69" t="s">
        <v>18</v>
      </c>
      <c r="I69" s="2">
        <v>10</v>
      </c>
      <c r="J69" t="s">
        <v>18</v>
      </c>
      <c r="K69" s="2">
        <v>20</v>
      </c>
      <c r="L69" s="2">
        <v>45</v>
      </c>
      <c r="M69" s="2">
        <v>10</v>
      </c>
    </row>
    <row r="70" spans="1:13">
      <c r="A70" t="s">
        <v>157</v>
      </c>
      <c r="B70" t="s">
        <v>158</v>
      </c>
      <c r="C70" t="s">
        <v>24</v>
      </c>
      <c r="D70" s="1">
        <v>45417</v>
      </c>
      <c r="E70" t="s">
        <v>18</v>
      </c>
      <c r="F70" s="2">
        <v>30</v>
      </c>
      <c r="G70" t="s">
        <v>25</v>
      </c>
      <c r="H70" t="s">
        <v>18</v>
      </c>
      <c r="I70" s="2">
        <v>10</v>
      </c>
      <c r="J70" t="s">
        <v>18</v>
      </c>
      <c r="K70" s="2">
        <v>20</v>
      </c>
      <c r="L70" s="2">
        <v>50</v>
      </c>
      <c r="M70" s="2">
        <v>10</v>
      </c>
    </row>
    <row r="71" spans="1:13">
      <c r="A71" t="s">
        <v>159</v>
      </c>
      <c r="B71" t="s">
        <v>160</v>
      </c>
      <c r="C71" t="s">
        <v>15</v>
      </c>
      <c r="D71" s="1">
        <v>45424</v>
      </c>
      <c r="E71" t="s">
        <v>18</v>
      </c>
      <c r="F71" s="2">
        <v>35</v>
      </c>
      <c r="G71" t="s">
        <v>21</v>
      </c>
      <c r="H71" t="s">
        <v>18</v>
      </c>
      <c r="I71" s="2">
        <v>10</v>
      </c>
      <c r="J71" t="s">
        <v>18</v>
      </c>
      <c r="K71" s="2">
        <v>20</v>
      </c>
      <c r="L71" s="2">
        <v>25</v>
      </c>
      <c r="M71" s="2">
        <v>40</v>
      </c>
    </row>
    <row r="72" spans="1:13">
      <c r="A72" t="s">
        <v>161</v>
      </c>
      <c r="B72" t="s">
        <v>162</v>
      </c>
      <c r="C72" t="s">
        <v>15</v>
      </c>
      <c r="D72" s="1">
        <v>45431</v>
      </c>
      <c r="E72" t="s">
        <v>16</v>
      </c>
      <c r="F72" s="2">
        <v>15</v>
      </c>
      <c r="G72" t="s">
        <v>21</v>
      </c>
      <c r="H72" t="s">
        <v>18</v>
      </c>
      <c r="I72" s="2">
        <v>10</v>
      </c>
      <c r="J72" t="s">
        <v>18</v>
      </c>
      <c r="K72" s="2">
        <v>20</v>
      </c>
      <c r="L72" s="2">
        <v>5</v>
      </c>
      <c r="M72" s="2">
        <v>40</v>
      </c>
    </row>
    <row r="73" spans="1:13">
      <c r="A73" t="s">
        <v>163</v>
      </c>
      <c r="B73" t="s">
        <v>164</v>
      </c>
      <c r="C73" t="s">
        <v>28</v>
      </c>
      <c r="D73" s="1">
        <v>45438</v>
      </c>
      <c r="E73" t="s">
        <v>18</v>
      </c>
      <c r="F73" s="2">
        <v>20</v>
      </c>
      <c r="G73" t="s">
        <v>21</v>
      </c>
      <c r="H73" t="s">
        <v>18</v>
      </c>
      <c r="I73" s="2">
        <v>10</v>
      </c>
      <c r="J73" t="s">
        <v>18</v>
      </c>
      <c r="K73" s="2">
        <v>20</v>
      </c>
      <c r="L73" s="2">
        <v>10</v>
      </c>
      <c r="M73" s="2">
        <v>40</v>
      </c>
    </row>
    <row r="74" spans="1:13">
      <c r="A74" t="s">
        <v>165</v>
      </c>
      <c r="B74" t="s">
        <v>166</v>
      </c>
      <c r="C74" t="s">
        <v>28</v>
      </c>
      <c r="D74" s="1">
        <v>45445</v>
      </c>
      <c r="E74" t="s">
        <v>16</v>
      </c>
      <c r="F74" s="2">
        <v>30</v>
      </c>
      <c r="G74" t="s">
        <v>21</v>
      </c>
      <c r="H74" t="s">
        <v>18</v>
      </c>
      <c r="I74" s="2">
        <v>10</v>
      </c>
      <c r="J74" t="s">
        <v>16</v>
      </c>
      <c r="K74" s="2">
        <v>0</v>
      </c>
      <c r="L74" s="2">
        <v>0</v>
      </c>
      <c r="M74" s="2">
        <v>40</v>
      </c>
    </row>
    <row r="75" spans="1:13">
      <c r="A75" t="s">
        <v>167</v>
      </c>
      <c r="B75" t="s">
        <v>168</v>
      </c>
      <c r="C75" t="s">
        <v>15</v>
      </c>
      <c r="D75" s="1">
        <v>45452</v>
      </c>
      <c r="E75" t="s">
        <v>16</v>
      </c>
      <c r="F75" s="2">
        <v>30</v>
      </c>
      <c r="G75" t="s">
        <v>25</v>
      </c>
      <c r="H75" t="s">
        <v>18</v>
      </c>
      <c r="I75" s="2">
        <v>10</v>
      </c>
      <c r="J75" t="s">
        <v>16</v>
      </c>
      <c r="K75" s="2">
        <v>0</v>
      </c>
      <c r="L75" s="2">
        <v>30</v>
      </c>
      <c r="M75" s="2">
        <v>10</v>
      </c>
    </row>
    <row r="76" spans="1:13">
      <c r="A76" t="s">
        <v>169</v>
      </c>
      <c r="B76" t="s">
        <v>170</v>
      </c>
      <c r="C76" t="s">
        <v>28</v>
      </c>
      <c r="D76" s="1">
        <v>45459</v>
      </c>
      <c r="E76" t="s">
        <v>16</v>
      </c>
      <c r="F76" s="2">
        <v>35</v>
      </c>
      <c r="G76" t="s">
        <v>25</v>
      </c>
      <c r="H76" t="s">
        <v>18</v>
      </c>
      <c r="I76" s="2">
        <v>10</v>
      </c>
      <c r="J76" t="s">
        <v>18</v>
      </c>
      <c r="K76" s="2">
        <v>20</v>
      </c>
      <c r="L76" s="2">
        <v>25</v>
      </c>
      <c r="M76" s="2">
        <v>40</v>
      </c>
    </row>
    <row r="77" spans="1:13">
      <c r="A77" t="s">
        <v>171</v>
      </c>
      <c r="B77" t="s">
        <v>172</v>
      </c>
      <c r="C77" t="s">
        <v>28</v>
      </c>
      <c r="D77" s="1">
        <v>45466</v>
      </c>
      <c r="E77" t="s">
        <v>18</v>
      </c>
      <c r="F77" s="2">
        <v>15</v>
      </c>
      <c r="G77" t="s">
        <v>21</v>
      </c>
      <c r="H77" t="s">
        <v>18</v>
      </c>
      <c r="I77" s="2">
        <v>10</v>
      </c>
      <c r="J77" t="s">
        <v>18</v>
      </c>
      <c r="K77" s="2">
        <v>20</v>
      </c>
      <c r="L77" s="2">
        <v>5</v>
      </c>
      <c r="M77" s="2">
        <v>40</v>
      </c>
    </row>
    <row r="78" spans="1:13">
      <c r="A78" t="s">
        <v>173</v>
      </c>
      <c r="B78" t="s">
        <v>174</v>
      </c>
      <c r="C78" t="s">
        <v>28</v>
      </c>
      <c r="D78" s="1">
        <v>45473</v>
      </c>
      <c r="E78" t="s">
        <v>16</v>
      </c>
      <c r="F78" s="2">
        <v>20</v>
      </c>
      <c r="G78" t="s">
        <v>21</v>
      </c>
      <c r="H78" t="s">
        <v>18</v>
      </c>
      <c r="I78" s="2">
        <v>10</v>
      </c>
      <c r="J78" t="s">
        <v>18</v>
      </c>
      <c r="K78" s="2">
        <v>20</v>
      </c>
      <c r="L78" s="2">
        <v>10</v>
      </c>
      <c r="M78" s="2">
        <v>40</v>
      </c>
    </row>
    <row r="79" spans="1:13">
      <c r="A79" t="s">
        <v>175</v>
      </c>
      <c r="B79" t="s">
        <v>176</v>
      </c>
      <c r="C79" t="s">
        <v>28</v>
      </c>
      <c r="D79" s="1">
        <v>45480</v>
      </c>
      <c r="E79" t="s">
        <v>18</v>
      </c>
      <c r="F79" s="2">
        <v>30</v>
      </c>
      <c r="G79" t="s">
        <v>25</v>
      </c>
      <c r="H79" t="s">
        <v>18</v>
      </c>
      <c r="I79" s="2">
        <v>10</v>
      </c>
      <c r="J79" t="s">
        <v>16</v>
      </c>
      <c r="K79" s="2">
        <v>0</v>
      </c>
      <c r="L79" s="2">
        <v>0</v>
      </c>
      <c r="M79" s="2">
        <v>40</v>
      </c>
    </row>
    <row r="80" spans="1:13">
      <c r="A80" t="s">
        <v>177</v>
      </c>
      <c r="B80" t="s">
        <v>178</v>
      </c>
      <c r="C80" t="s">
        <v>28</v>
      </c>
      <c r="D80" s="1">
        <v>45487</v>
      </c>
      <c r="E80" t="s">
        <v>16</v>
      </c>
      <c r="F80" s="2">
        <v>30</v>
      </c>
      <c r="G80" t="s">
        <v>21</v>
      </c>
      <c r="H80" t="s">
        <v>18</v>
      </c>
      <c r="I80" s="2">
        <v>10</v>
      </c>
      <c r="J80" t="s">
        <v>18</v>
      </c>
      <c r="K80" s="2">
        <v>20</v>
      </c>
      <c r="L80" s="2">
        <v>20</v>
      </c>
      <c r="M80" s="2">
        <v>40</v>
      </c>
    </row>
    <row r="81" spans="1:13">
      <c r="A81" t="s">
        <v>179</v>
      </c>
      <c r="B81" t="s">
        <v>180</v>
      </c>
      <c r="C81" t="s">
        <v>15</v>
      </c>
      <c r="D81" s="1">
        <v>45494</v>
      </c>
      <c r="E81" t="s">
        <v>16</v>
      </c>
      <c r="F81" s="2">
        <v>35</v>
      </c>
      <c r="G81" t="s">
        <v>21</v>
      </c>
      <c r="H81" t="s">
        <v>18</v>
      </c>
      <c r="I81" s="2">
        <v>10</v>
      </c>
      <c r="J81" t="s">
        <v>16</v>
      </c>
      <c r="K81" s="2">
        <v>0</v>
      </c>
      <c r="L81" s="2">
        <v>35</v>
      </c>
      <c r="M81" s="2">
        <v>10</v>
      </c>
    </row>
    <row r="82" spans="1:13">
      <c r="A82" t="s">
        <v>181</v>
      </c>
      <c r="B82" t="s">
        <v>182</v>
      </c>
      <c r="C82" t="s">
        <v>15</v>
      </c>
      <c r="D82" s="1">
        <v>45501</v>
      </c>
      <c r="E82" t="s">
        <v>18</v>
      </c>
      <c r="F82" s="2">
        <v>15</v>
      </c>
      <c r="G82" t="s">
        <v>21</v>
      </c>
      <c r="H82" t="s">
        <v>18</v>
      </c>
      <c r="I82" s="2">
        <v>10</v>
      </c>
      <c r="J82" t="s">
        <v>18</v>
      </c>
      <c r="K82" s="2">
        <v>20</v>
      </c>
      <c r="L82" s="2">
        <v>35</v>
      </c>
      <c r="M82" s="2">
        <v>10</v>
      </c>
    </row>
    <row r="83" spans="1:13">
      <c r="A83" t="s">
        <v>183</v>
      </c>
      <c r="B83" t="s">
        <v>184</v>
      </c>
      <c r="C83" t="s">
        <v>24</v>
      </c>
      <c r="D83" s="1">
        <v>45508</v>
      </c>
      <c r="E83" t="s">
        <v>16</v>
      </c>
      <c r="F83" s="2">
        <v>20</v>
      </c>
      <c r="G83" t="s">
        <v>17</v>
      </c>
      <c r="H83" t="s">
        <v>18</v>
      </c>
      <c r="I83" s="2">
        <v>10</v>
      </c>
      <c r="J83" t="s">
        <v>16</v>
      </c>
      <c r="K83" s="2">
        <v>0</v>
      </c>
      <c r="L83" s="2">
        <v>20</v>
      </c>
      <c r="M83" s="2">
        <v>10</v>
      </c>
    </row>
    <row r="84" spans="1:13">
      <c r="A84" t="s">
        <v>185</v>
      </c>
      <c r="B84" t="s">
        <v>186</v>
      </c>
      <c r="C84" t="s">
        <v>15</v>
      </c>
      <c r="D84" s="1">
        <v>45515</v>
      </c>
      <c r="E84" t="s">
        <v>16</v>
      </c>
      <c r="F84" s="2">
        <v>25</v>
      </c>
      <c r="G84" t="s">
        <v>25</v>
      </c>
      <c r="H84" t="s">
        <v>18</v>
      </c>
      <c r="I84" s="2">
        <v>10</v>
      </c>
      <c r="J84" t="s">
        <v>18</v>
      </c>
      <c r="K84" s="2">
        <v>20</v>
      </c>
      <c r="L84" s="2">
        <v>15</v>
      </c>
      <c r="M84" s="2">
        <v>40</v>
      </c>
    </row>
    <row r="85" spans="1:13">
      <c r="A85" t="s">
        <v>187</v>
      </c>
      <c r="B85" t="s">
        <v>188</v>
      </c>
      <c r="C85" t="s">
        <v>15</v>
      </c>
      <c r="D85" s="1">
        <v>45522</v>
      </c>
      <c r="E85" t="s">
        <v>18</v>
      </c>
      <c r="F85" s="2">
        <v>30</v>
      </c>
      <c r="G85" t="s">
        <v>25</v>
      </c>
      <c r="H85" t="s">
        <v>18</v>
      </c>
      <c r="I85" s="2">
        <v>10</v>
      </c>
      <c r="J85" t="s">
        <v>18</v>
      </c>
      <c r="K85" s="2">
        <v>20</v>
      </c>
      <c r="L85" s="2">
        <v>50</v>
      </c>
      <c r="M85" s="2">
        <v>10</v>
      </c>
    </row>
    <row r="86" spans="1:13">
      <c r="A86" t="s">
        <v>189</v>
      </c>
      <c r="B86" t="s">
        <v>190</v>
      </c>
      <c r="C86" t="s">
        <v>28</v>
      </c>
      <c r="D86" s="1">
        <v>45529</v>
      </c>
      <c r="E86" t="s">
        <v>16</v>
      </c>
      <c r="F86" s="2">
        <v>35</v>
      </c>
      <c r="G86" t="s">
        <v>17</v>
      </c>
      <c r="H86" t="s">
        <v>18</v>
      </c>
      <c r="I86" s="2">
        <v>10</v>
      </c>
      <c r="J86" t="s">
        <v>18</v>
      </c>
      <c r="K86" s="2">
        <v>20</v>
      </c>
      <c r="L86" s="2">
        <v>55</v>
      </c>
      <c r="M86" s="2">
        <v>10</v>
      </c>
    </row>
    <row r="87" spans="1:13">
      <c r="A87" t="s">
        <v>191</v>
      </c>
      <c r="B87" t="s">
        <v>192</v>
      </c>
      <c r="C87" t="s">
        <v>15</v>
      </c>
      <c r="D87" s="1">
        <v>45536</v>
      </c>
      <c r="E87" t="s">
        <v>16</v>
      </c>
      <c r="F87" s="2">
        <v>15</v>
      </c>
      <c r="G87" t="s">
        <v>17</v>
      </c>
      <c r="H87" t="s">
        <v>18</v>
      </c>
      <c r="I87" s="2">
        <v>10</v>
      </c>
      <c r="J87" t="s">
        <v>18</v>
      </c>
      <c r="K87" s="2">
        <v>20</v>
      </c>
      <c r="L87" s="2">
        <v>35</v>
      </c>
      <c r="M87" s="2">
        <v>10</v>
      </c>
    </row>
    <row r="88" spans="1:13">
      <c r="A88" t="s">
        <v>193</v>
      </c>
      <c r="B88" t="s">
        <v>194</v>
      </c>
      <c r="C88" t="s">
        <v>28</v>
      </c>
      <c r="D88" s="1">
        <v>45543</v>
      </c>
      <c r="E88" t="s">
        <v>18</v>
      </c>
      <c r="F88" s="2">
        <v>20</v>
      </c>
      <c r="G88" t="s">
        <v>21</v>
      </c>
      <c r="H88" t="s">
        <v>18</v>
      </c>
      <c r="I88" s="2">
        <v>10</v>
      </c>
      <c r="J88" t="s">
        <v>18</v>
      </c>
      <c r="K88" s="2">
        <v>20</v>
      </c>
      <c r="L88" s="2">
        <v>10</v>
      </c>
      <c r="M88" s="2">
        <v>40</v>
      </c>
    </row>
    <row r="89" spans="1:13">
      <c r="A89" t="s">
        <v>195</v>
      </c>
      <c r="B89" t="s">
        <v>196</v>
      </c>
      <c r="C89" t="s">
        <v>15</v>
      </c>
      <c r="D89" s="1">
        <v>45550</v>
      </c>
      <c r="E89" t="s">
        <v>18</v>
      </c>
      <c r="F89" s="2">
        <v>30</v>
      </c>
      <c r="G89" t="s">
        <v>17</v>
      </c>
      <c r="H89" t="s">
        <v>18</v>
      </c>
      <c r="I89" s="2">
        <v>10</v>
      </c>
      <c r="J89" t="s">
        <v>16</v>
      </c>
      <c r="K89" s="2">
        <v>0</v>
      </c>
      <c r="L89" s="2">
        <v>0</v>
      </c>
      <c r="M89" s="2">
        <v>40</v>
      </c>
    </row>
    <row r="90" spans="1:13">
      <c r="A90" t="s">
        <v>197</v>
      </c>
      <c r="B90" t="s">
        <v>198</v>
      </c>
      <c r="C90" t="s">
        <v>15</v>
      </c>
      <c r="D90" s="1">
        <v>45557</v>
      </c>
      <c r="E90" t="s">
        <v>16</v>
      </c>
      <c r="F90" s="2">
        <v>30</v>
      </c>
      <c r="G90" t="s">
        <v>25</v>
      </c>
      <c r="H90" t="s">
        <v>18</v>
      </c>
      <c r="I90" s="2">
        <v>10</v>
      </c>
      <c r="J90" t="s">
        <v>16</v>
      </c>
      <c r="K90" s="2">
        <v>0</v>
      </c>
      <c r="L90" s="2">
        <v>30</v>
      </c>
      <c r="M90" s="2">
        <v>10</v>
      </c>
    </row>
    <row r="91" spans="1:13">
      <c r="A91" t="s">
        <v>199</v>
      </c>
      <c r="B91" t="s">
        <v>200</v>
      </c>
      <c r="C91" t="s">
        <v>24</v>
      </c>
      <c r="D91" s="1">
        <v>45564</v>
      </c>
      <c r="E91" t="s">
        <v>18</v>
      </c>
      <c r="F91" s="2">
        <v>35</v>
      </c>
      <c r="G91" t="s">
        <v>17</v>
      </c>
      <c r="H91" t="s">
        <v>18</v>
      </c>
      <c r="I91" s="2">
        <v>10</v>
      </c>
      <c r="J91" t="s">
        <v>16</v>
      </c>
      <c r="K91" s="2">
        <v>0</v>
      </c>
      <c r="L91" s="2">
        <v>35</v>
      </c>
      <c r="M91" s="2">
        <v>10</v>
      </c>
    </row>
    <row r="92" spans="1:13">
      <c r="A92" t="s">
        <v>201</v>
      </c>
      <c r="B92" t="s">
        <v>202</v>
      </c>
      <c r="C92" t="s">
        <v>24</v>
      </c>
      <c r="D92" s="1">
        <v>45571</v>
      </c>
      <c r="E92" t="s">
        <v>18</v>
      </c>
      <c r="F92" s="2">
        <v>15</v>
      </c>
      <c r="G92" t="s">
        <v>17</v>
      </c>
      <c r="H92" t="s">
        <v>18</v>
      </c>
      <c r="I92" s="2">
        <v>10</v>
      </c>
      <c r="J92" t="s">
        <v>18</v>
      </c>
      <c r="K92" s="2">
        <v>20</v>
      </c>
      <c r="L92" s="2">
        <v>5</v>
      </c>
      <c r="M92" s="2">
        <v>40</v>
      </c>
    </row>
    <row r="93" spans="1:13">
      <c r="A93" t="s">
        <v>203</v>
      </c>
      <c r="B93" t="s">
        <v>204</v>
      </c>
      <c r="C93" t="s">
        <v>24</v>
      </c>
      <c r="D93" s="1">
        <v>45578</v>
      </c>
      <c r="E93" t="s">
        <v>18</v>
      </c>
      <c r="F93" s="2">
        <v>20</v>
      </c>
      <c r="G93" t="s">
        <v>25</v>
      </c>
      <c r="H93" t="s">
        <v>18</v>
      </c>
      <c r="I93" s="2">
        <v>10</v>
      </c>
      <c r="J93" t="s">
        <v>18</v>
      </c>
      <c r="K93" s="2">
        <v>20</v>
      </c>
      <c r="L93" s="2">
        <v>10</v>
      </c>
      <c r="M93" s="2">
        <v>40</v>
      </c>
    </row>
    <row r="94" spans="1:13">
      <c r="A94" t="s">
        <v>205</v>
      </c>
      <c r="B94" t="s">
        <v>206</v>
      </c>
      <c r="C94" t="s">
        <v>24</v>
      </c>
      <c r="D94" s="1">
        <v>45585</v>
      </c>
      <c r="E94" t="s">
        <v>18</v>
      </c>
      <c r="F94" s="2">
        <v>25</v>
      </c>
      <c r="G94" t="s">
        <v>17</v>
      </c>
      <c r="H94" t="s">
        <v>18</v>
      </c>
      <c r="I94" s="2">
        <v>10</v>
      </c>
      <c r="J94" t="s">
        <v>18</v>
      </c>
      <c r="K94" s="2">
        <v>20</v>
      </c>
      <c r="L94" s="2">
        <v>15</v>
      </c>
      <c r="M94" s="2">
        <v>40</v>
      </c>
    </row>
    <row r="95" spans="1:13">
      <c r="A95" t="s">
        <v>207</v>
      </c>
      <c r="B95" t="s">
        <v>208</v>
      </c>
      <c r="C95" t="s">
        <v>28</v>
      </c>
      <c r="D95" s="1">
        <v>45592</v>
      </c>
      <c r="E95" t="s">
        <v>18</v>
      </c>
      <c r="F95" s="2">
        <v>30</v>
      </c>
      <c r="G95" t="s">
        <v>17</v>
      </c>
      <c r="H95" t="s">
        <v>18</v>
      </c>
      <c r="I95" s="2">
        <v>10</v>
      </c>
      <c r="J95" t="s">
        <v>18</v>
      </c>
      <c r="K95" s="2">
        <v>20</v>
      </c>
      <c r="L95" s="2">
        <v>50</v>
      </c>
      <c r="M95" s="2">
        <v>10</v>
      </c>
    </row>
    <row r="96" spans="1:13">
      <c r="A96" t="s">
        <v>209</v>
      </c>
      <c r="B96" t="s">
        <v>210</v>
      </c>
      <c r="C96" t="s">
        <v>24</v>
      </c>
      <c r="D96" s="1">
        <v>45599</v>
      </c>
      <c r="E96" t="s">
        <v>18</v>
      </c>
      <c r="F96" s="2">
        <v>35</v>
      </c>
      <c r="G96" t="s">
        <v>25</v>
      </c>
      <c r="H96" t="s">
        <v>18</v>
      </c>
      <c r="I96" s="2">
        <v>10</v>
      </c>
      <c r="J96" t="s">
        <v>16</v>
      </c>
      <c r="K96" s="2">
        <v>0</v>
      </c>
      <c r="L96" s="2">
        <v>35</v>
      </c>
      <c r="M96" s="2">
        <v>10</v>
      </c>
    </row>
    <row r="97" spans="1:13">
      <c r="A97" t="s">
        <v>211</v>
      </c>
      <c r="B97" t="s">
        <v>212</v>
      </c>
      <c r="C97" t="s">
        <v>28</v>
      </c>
      <c r="D97" s="1">
        <v>45606</v>
      </c>
      <c r="E97" t="s">
        <v>18</v>
      </c>
      <c r="F97" s="2">
        <v>15</v>
      </c>
      <c r="G97" t="s">
        <v>21</v>
      </c>
      <c r="H97" t="s">
        <v>18</v>
      </c>
      <c r="I97" s="2">
        <v>10</v>
      </c>
      <c r="J97" t="s">
        <v>16</v>
      </c>
      <c r="K97" s="2">
        <v>0</v>
      </c>
      <c r="L97" s="2">
        <v>15</v>
      </c>
      <c r="M97" s="2">
        <v>10</v>
      </c>
    </row>
    <row r="98" spans="1:13">
      <c r="A98" t="s">
        <v>213</v>
      </c>
      <c r="B98" t="s">
        <v>214</v>
      </c>
      <c r="C98" t="s">
        <v>28</v>
      </c>
      <c r="D98" s="1">
        <v>45613</v>
      </c>
      <c r="E98" t="s">
        <v>18</v>
      </c>
      <c r="F98" s="2">
        <v>20</v>
      </c>
      <c r="G98" t="s">
        <v>21</v>
      </c>
      <c r="H98" t="s">
        <v>18</v>
      </c>
      <c r="I98" s="2">
        <v>10</v>
      </c>
      <c r="J98" t="s">
        <v>16</v>
      </c>
      <c r="K98" s="2">
        <v>0</v>
      </c>
      <c r="L98" s="2">
        <v>20</v>
      </c>
      <c r="M98" s="2">
        <v>10</v>
      </c>
    </row>
    <row r="99" spans="1:13">
      <c r="A99" t="s">
        <v>215</v>
      </c>
      <c r="B99" t="s">
        <v>216</v>
      </c>
      <c r="C99" t="s">
        <v>15</v>
      </c>
      <c r="D99" s="1">
        <v>45620</v>
      </c>
      <c r="E99" t="s">
        <v>16</v>
      </c>
      <c r="F99" s="2">
        <v>25</v>
      </c>
      <c r="G99" t="s">
        <v>25</v>
      </c>
      <c r="H99" t="s">
        <v>18</v>
      </c>
      <c r="I99" s="2">
        <v>10</v>
      </c>
      <c r="J99" t="s">
        <v>18</v>
      </c>
      <c r="K99" s="2">
        <v>20</v>
      </c>
      <c r="L99" s="2">
        <v>15</v>
      </c>
      <c r="M99" s="2">
        <v>40</v>
      </c>
    </row>
    <row r="100" spans="1:13">
      <c r="A100" t="s">
        <v>217</v>
      </c>
      <c r="B100" t="s">
        <v>218</v>
      </c>
      <c r="C100" t="s">
        <v>15</v>
      </c>
      <c r="D100" s="1">
        <v>45627</v>
      </c>
      <c r="E100" t="s">
        <v>18</v>
      </c>
      <c r="F100" s="2">
        <v>30</v>
      </c>
      <c r="G100" t="s">
        <v>21</v>
      </c>
      <c r="H100" t="s">
        <v>18</v>
      </c>
      <c r="I100" s="2">
        <v>10</v>
      </c>
      <c r="J100" t="s">
        <v>18</v>
      </c>
      <c r="K100" s="2">
        <v>20</v>
      </c>
      <c r="L100" s="2">
        <v>50</v>
      </c>
      <c r="M100" s="2">
        <v>10</v>
      </c>
    </row>
    <row r="101" spans="1:13">
      <c r="A101" t="s">
        <v>219</v>
      </c>
      <c r="B101" t="s">
        <v>220</v>
      </c>
      <c r="C101" t="s">
        <v>24</v>
      </c>
      <c r="D101" s="1">
        <v>45634</v>
      </c>
      <c r="E101" t="s">
        <v>16</v>
      </c>
      <c r="F101" s="2">
        <v>35</v>
      </c>
      <c r="G101" t="s">
        <v>21</v>
      </c>
      <c r="H101" t="s">
        <v>18</v>
      </c>
      <c r="I101" s="2">
        <v>10</v>
      </c>
      <c r="J101" t="s">
        <v>18</v>
      </c>
      <c r="K101" s="2">
        <v>20</v>
      </c>
      <c r="L101" s="2">
        <v>55</v>
      </c>
      <c r="M101" s="2">
        <v>10</v>
      </c>
    </row>
    <row r="102" spans="1:13">
      <c r="A102" t="s">
        <v>221</v>
      </c>
      <c r="B102" t="s">
        <v>222</v>
      </c>
      <c r="C102" t="s">
        <v>24</v>
      </c>
      <c r="D102" s="1">
        <v>45641</v>
      </c>
      <c r="E102" t="s">
        <v>16</v>
      </c>
      <c r="F102" s="2">
        <v>15</v>
      </c>
      <c r="G102" t="s">
        <v>25</v>
      </c>
      <c r="H102" t="s">
        <v>18</v>
      </c>
      <c r="I102" s="2">
        <v>10</v>
      </c>
      <c r="J102" t="s">
        <v>18</v>
      </c>
      <c r="K102" s="2">
        <v>20</v>
      </c>
      <c r="L102" s="2">
        <v>35</v>
      </c>
      <c r="M102" s="2">
        <v>10</v>
      </c>
    </row>
    <row r="103" spans="1:13">
      <c r="A103" t="s">
        <v>223</v>
      </c>
      <c r="B103" t="s">
        <v>224</v>
      </c>
      <c r="C103" t="s">
        <v>15</v>
      </c>
      <c r="D103" s="1">
        <v>45297</v>
      </c>
      <c r="E103" t="s">
        <v>18</v>
      </c>
      <c r="F103" s="2">
        <v>20</v>
      </c>
      <c r="G103" t="s">
        <v>21</v>
      </c>
      <c r="H103" t="s">
        <v>18</v>
      </c>
      <c r="I103" s="2">
        <v>10</v>
      </c>
      <c r="J103" t="s">
        <v>18</v>
      </c>
      <c r="K103" s="2">
        <v>20</v>
      </c>
      <c r="L103" s="2">
        <v>40</v>
      </c>
      <c r="M103" s="2">
        <v>10</v>
      </c>
    </row>
    <row r="104" spans="1:13">
      <c r="A104" t="s">
        <v>225</v>
      </c>
      <c r="B104" t="s">
        <v>226</v>
      </c>
      <c r="C104" t="s">
        <v>24</v>
      </c>
      <c r="D104" s="1">
        <v>45304</v>
      </c>
      <c r="E104" t="s">
        <v>16</v>
      </c>
      <c r="F104" s="2">
        <v>25</v>
      </c>
      <c r="G104" t="s">
        <v>17</v>
      </c>
      <c r="H104" t="s">
        <v>18</v>
      </c>
      <c r="I104" s="2">
        <v>10</v>
      </c>
      <c r="J104" t="s">
        <v>18</v>
      </c>
      <c r="K104" s="2">
        <v>20</v>
      </c>
      <c r="L104" s="2">
        <v>15</v>
      </c>
      <c r="M104" s="2">
        <v>40</v>
      </c>
    </row>
    <row r="105" spans="1:13">
      <c r="A105" t="s">
        <v>227</v>
      </c>
      <c r="B105" t="s">
        <v>228</v>
      </c>
      <c r="C105" t="s">
        <v>24</v>
      </c>
      <c r="D105" s="1">
        <v>45311</v>
      </c>
      <c r="E105" t="s">
        <v>18</v>
      </c>
      <c r="F105" s="2">
        <v>30</v>
      </c>
      <c r="G105" t="s">
        <v>25</v>
      </c>
      <c r="H105" t="s">
        <v>18</v>
      </c>
      <c r="I105" s="2">
        <v>10</v>
      </c>
      <c r="J105" t="s">
        <v>16</v>
      </c>
      <c r="K105" s="2">
        <v>0</v>
      </c>
      <c r="L105" s="2">
        <v>30</v>
      </c>
      <c r="M105" s="2">
        <v>10</v>
      </c>
    </row>
    <row r="106" spans="1:13">
      <c r="A106" t="s">
        <v>229</v>
      </c>
      <c r="B106" t="s">
        <v>230</v>
      </c>
      <c r="C106" t="s">
        <v>15</v>
      </c>
      <c r="D106" s="1">
        <v>45318</v>
      </c>
      <c r="E106" t="s">
        <v>18</v>
      </c>
      <c r="F106" s="2">
        <v>35</v>
      </c>
      <c r="G106" t="s">
        <v>17</v>
      </c>
      <c r="H106" t="s">
        <v>18</v>
      </c>
      <c r="I106" s="2">
        <v>10</v>
      </c>
      <c r="J106" t="s">
        <v>18</v>
      </c>
      <c r="K106" s="2">
        <v>20</v>
      </c>
      <c r="L106" s="2">
        <v>55</v>
      </c>
      <c r="M106" s="2">
        <v>10</v>
      </c>
    </row>
    <row r="107" spans="1:13">
      <c r="A107" t="s">
        <v>231</v>
      </c>
      <c r="B107" t="s">
        <v>232</v>
      </c>
      <c r="C107" t="s">
        <v>24</v>
      </c>
      <c r="D107" s="1">
        <v>45325</v>
      </c>
      <c r="E107" t="s">
        <v>18</v>
      </c>
      <c r="F107" s="2">
        <v>15</v>
      </c>
      <c r="G107" t="s">
        <v>25</v>
      </c>
      <c r="H107" t="s">
        <v>18</v>
      </c>
      <c r="I107" s="2">
        <v>10</v>
      </c>
      <c r="J107" t="s">
        <v>18</v>
      </c>
      <c r="K107" s="2">
        <v>20</v>
      </c>
      <c r="L107" s="2">
        <v>5</v>
      </c>
      <c r="M107" s="2">
        <v>40</v>
      </c>
    </row>
    <row r="108" spans="1:13">
      <c r="A108" t="s">
        <v>233</v>
      </c>
      <c r="B108" t="s">
        <v>234</v>
      </c>
      <c r="C108" t="s">
        <v>15</v>
      </c>
      <c r="D108" s="1">
        <v>45332</v>
      </c>
      <c r="E108" t="s">
        <v>16</v>
      </c>
      <c r="F108" s="2">
        <v>20</v>
      </c>
      <c r="G108" t="s">
        <v>21</v>
      </c>
      <c r="H108" t="s">
        <v>18</v>
      </c>
      <c r="I108" s="2">
        <v>10</v>
      </c>
      <c r="J108" t="s">
        <v>18</v>
      </c>
      <c r="K108" s="2">
        <v>20</v>
      </c>
      <c r="L108" s="2">
        <v>10</v>
      </c>
      <c r="M108" s="2">
        <v>40</v>
      </c>
    </row>
    <row r="109" spans="1:13">
      <c r="A109" t="s">
        <v>235</v>
      </c>
      <c r="B109" t="s">
        <v>236</v>
      </c>
      <c r="C109" t="s">
        <v>15</v>
      </c>
      <c r="D109" s="1">
        <v>45339</v>
      </c>
      <c r="E109" t="s">
        <v>18</v>
      </c>
      <c r="F109" s="2">
        <v>25</v>
      </c>
      <c r="G109" t="s">
        <v>21</v>
      </c>
      <c r="H109" t="s">
        <v>18</v>
      </c>
      <c r="I109" s="2">
        <v>10</v>
      </c>
      <c r="J109" t="s">
        <v>18</v>
      </c>
      <c r="K109" s="2">
        <v>20</v>
      </c>
      <c r="L109" s="2">
        <v>15</v>
      </c>
      <c r="M109" s="2">
        <v>40</v>
      </c>
    </row>
    <row r="110" spans="1:13">
      <c r="A110" t="s">
        <v>237</v>
      </c>
      <c r="B110" t="s">
        <v>238</v>
      </c>
      <c r="C110" t="s">
        <v>28</v>
      </c>
      <c r="D110" s="1">
        <v>45346</v>
      </c>
      <c r="E110" t="s">
        <v>18</v>
      </c>
      <c r="F110" s="2">
        <v>30</v>
      </c>
      <c r="G110" t="s">
        <v>25</v>
      </c>
      <c r="H110" t="s">
        <v>18</v>
      </c>
      <c r="I110" s="2">
        <v>10</v>
      </c>
      <c r="J110" t="s">
        <v>18</v>
      </c>
      <c r="K110" s="2">
        <v>20</v>
      </c>
      <c r="L110" s="2">
        <v>20</v>
      </c>
      <c r="M110" s="2">
        <v>40</v>
      </c>
    </row>
    <row r="111" spans="1:13">
      <c r="A111" t="s">
        <v>239</v>
      </c>
      <c r="B111" t="s">
        <v>240</v>
      </c>
      <c r="C111" t="s">
        <v>24</v>
      </c>
      <c r="D111" s="1">
        <v>45353</v>
      </c>
      <c r="E111" t="s">
        <v>16</v>
      </c>
      <c r="F111" s="2">
        <v>35</v>
      </c>
      <c r="G111" t="s">
        <v>21</v>
      </c>
      <c r="H111" t="s">
        <v>18</v>
      </c>
      <c r="I111" s="2">
        <v>10</v>
      </c>
      <c r="J111" t="s">
        <v>18</v>
      </c>
      <c r="K111" s="2">
        <v>20</v>
      </c>
      <c r="L111" s="2">
        <v>25</v>
      </c>
      <c r="M111" s="2">
        <v>40</v>
      </c>
    </row>
    <row r="112" spans="1:13">
      <c r="A112" t="s">
        <v>241</v>
      </c>
      <c r="B112" t="s">
        <v>242</v>
      </c>
      <c r="C112" t="s">
        <v>28</v>
      </c>
      <c r="D112" s="1">
        <v>45360</v>
      </c>
      <c r="E112" t="s">
        <v>18</v>
      </c>
      <c r="F112" s="2">
        <v>15</v>
      </c>
      <c r="G112" t="s">
        <v>17</v>
      </c>
      <c r="H112" t="s">
        <v>18</v>
      </c>
      <c r="I112" s="2">
        <v>10</v>
      </c>
      <c r="J112" t="s">
        <v>18</v>
      </c>
      <c r="K112" s="2">
        <v>20</v>
      </c>
      <c r="L112" s="2">
        <v>5</v>
      </c>
      <c r="M112" s="2">
        <v>40</v>
      </c>
    </row>
    <row r="113" spans="1:13">
      <c r="A113" t="s">
        <v>243</v>
      </c>
      <c r="B113" t="s">
        <v>244</v>
      </c>
      <c r="C113" t="s">
        <v>15</v>
      </c>
      <c r="D113" s="1">
        <v>45367</v>
      </c>
      <c r="E113" t="s">
        <v>18</v>
      </c>
      <c r="F113" s="2">
        <v>20</v>
      </c>
      <c r="G113" t="s">
        <v>21</v>
      </c>
      <c r="H113" t="s">
        <v>18</v>
      </c>
      <c r="I113" s="2">
        <v>10</v>
      </c>
      <c r="J113" t="s">
        <v>16</v>
      </c>
      <c r="K113" s="2">
        <v>0</v>
      </c>
      <c r="L113" s="2">
        <v>20</v>
      </c>
      <c r="M113" s="2">
        <v>10</v>
      </c>
    </row>
    <row r="114" spans="1:13">
      <c r="A114" t="s">
        <v>245</v>
      </c>
      <c r="B114" t="s">
        <v>246</v>
      </c>
      <c r="C114" t="s">
        <v>15</v>
      </c>
      <c r="D114" s="1">
        <v>45374</v>
      </c>
      <c r="E114" t="s">
        <v>18</v>
      </c>
      <c r="F114" s="2">
        <v>25</v>
      </c>
      <c r="G114" t="s">
        <v>17</v>
      </c>
      <c r="H114" t="s">
        <v>18</v>
      </c>
      <c r="I114" s="2">
        <v>10</v>
      </c>
      <c r="J114" t="s">
        <v>18</v>
      </c>
      <c r="K114" s="2">
        <v>20</v>
      </c>
      <c r="L114" s="2">
        <v>15</v>
      </c>
      <c r="M114" s="2">
        <v>40</v>
      </c>
    </row>
    <row r="115" spans="1:13">
      <c r="A115" t="s">
        <v>247</v>
      </c>
      <c r="B115" t="s">
        <v>248</v>
      </c>
      <c r="C115" t="s">
        <v>28</v>
      </c>
      <c r="D115" s="1">
        <v>45381</v>
      </c>
      <c r="E115" t="s">
        <v>16</v>
      </c>
      <c r="F115" s="2">
        <v>30</v>
      </c>
      <c r="G115" t="s">
        <v>25</v>
      </c>
      <c r="H115" t="s">
        <v>18</v>
      </c>
      <c r="I115" s="2">
        <v>10</v>
      </c>
      <c r="J115" t="s">
        <v>16</v>
      </c>
      <c r="K115" s="2">
        <v>0</v>
      </c>
      <c r="L115" s="2">
        <v>0</v>
      </c>
      <c r="M115" s="2">
        <v>40</v>
      </c>
    </row>
    <row r="116" spans="1:13">
      <c r="A116" t="s">
        <v>249</v>
      </c>
      <c r="B116" t="s">
        <v>250</v>
      </c>
      <c r="C116" t="s">
        <v>15</v>
      </c>
      <c r="D116" s="1">
        <v>45388</v>
      </c>
      <c r="E116" t="s">
        <v>16</v>
      </c>
      <c r="F116" s="2">
        <v>35</v>
      </c>
      <c r="G116" t="s">
        <v>17</v>
      </c>
      <c r="H116" t="s">
        <v>18</v>
      </c>
      <c r="I116" s="2">
        <v>10</v>
      </c>
      <c r="J116" t="s">
        <v>16</v>
      </c>
      <c r="K116" s="2">
        <v>0</v>
      </c>
      <c r="L116" s="2">
        <v>35</v>
      </c>
      <c r="M116" s="2">
        <v>10</v>
      </c>
    </row>
    <row r="117" spans="1:13">
      <c r="A117" t="s">
        <v>251</v>
      </c>
      <c r="B117" t="s">
        <v>252</v>
      </c>
      <c r="C117" t="s">
        <v>24</v>
      </c>
      <c r="D117" s="1">
        <v>45395</v>
      </c>
      <c r="E117" t="s">
        <v>16</v>
      </c>
      <c r="F117" s="2">
        <v>15</v>
      </c>
      <c r="G117" t="s">
        <v>25</v>
      </c>
      <c r="H117" t="s">
        <v>18</v>
      </c>
      <c r="I117" s="2">
        <v>10</v>
      </c>
      <c r="J117" t="s">
        <v>18</v>
      </c>
      <c r="K117" s="2">
        <v>20</v>
      </c>
      <c r="L117" s="2">
        <v>35</v>
      </c>
      <c r="M117" s="2">
        <v>10</v>
      </c>
    </row>
    <row r="118" spans="1:13">
      <c r="A118" t="s">
        <v>253</v>
      </c>
      <c r="B118" t="s">
        <v>254</v>
      </c>
      <c r="C118" t="s">
        <v>15</v>
      </c>
      <c r="D118" s="1">
        <v>45402</v>
      </c>
      <c r="E118" t="s">
        <v>16</v>
      </c>
      <c r="F118" s="2">
        <v>20</v>
      </c>
      <c r="G118" t="s">
        <v>17</v>
      </c>
      <c r="H118" t="s">
        <v>18</v>
      </c>
      <c r="I118" s="2">
        <v>10</v>
      </c>
      <c r="J118" t="s">
        <v>18</v>
      </c>
      <c r="K118" s="2">
        <v>20</v>
      </c>
      <c r="L118" s="2">
        <v>10</v>
      </c>
      <c r="M118" s="2">
        <v>40</v>
      </c>
    </row>
    <row r="119" spans="1:13">
      <c r="A119" t="s">
        <v>255</v>
      </c>
      <c r="B119" t="s">
        <v>256</v>
      </c>
      <c r="C119" t="s">
        <v>24</v>
      </c>
      <c r="D119" s="1">
        <v>45409</v>
      </c>
      <c r="E119" t="s">
        <v>18</v>
      </c>
      <c r="F119" s="2">
        <v>25</v>
      </c>
      <c r="G119" t="s">
        <v>21</v>
      </c>
      <c r="H119" t="s">
        <v>18</v>
      </c>
      <c r="I119" s="2">
        <v>10</v>
      </c>
      <c r="J119" t="s">
        <v>18</v>
      </c>
      <c r="K119" s="2">
        <v>20</v>
      </c>
      <c r="L119" s="2">
        <v>15</v>
      </c>
      <c r="M119" s="2">
        <v>40</v>
      </c>
    </row>
    <row r="120" spans="1:13">
      <c r="A120" t="s">
        <v>257</v>
      </c>
      <c r="B120" t="s">
        <v>258</v>
      </c>
      <c r="C120" t="s">
        <v>15</v>
      </c>
      <c r="D120" s="1">
        <v>45416</v>
      </c>
      <c r="E120" t="s">
        <v>16</v>
      </c>
      <c r="F120" s="2">
        <v>30</v>
      </c>
      <c r="G120" t="s">
        <v>21</v>
      </c>
      <c r="H120" t="s">
        <v>18</v>
      </c>
      <c r="I120" s="2">
        <v>10</v>
      </c>
      <c r="J120" t="s">
        <v>18</v>
      </c>
      <c r="K120" s="2">
        <v>20</v>
      </c>
      <c r="L120" s="2">
        <v>50</v>
      </c>
      <c r="M120" s="2">
        <v>10</v>
      </c>
    </row>
    <row r="121" spans="1:13">
      <c r="A121" t="s">
        <v>259</v>
      </c>
      <c r="B121" t="s">
        <v>260</v>
      </c>
      <c r="C121" t="s">
        <v>15</v>
      </c>
      <c r="D121" s="1">
        <v>45423</v>
      </c>
      <c r="E121" t="s">
        <v>16</v>
      </c>
      <c r="F121" s="2">
        <v>35</v>
      </c>
      <c r="G121" t="s">
        <v>25</v>
      </c>
      <c r="H121" t="s">
        <v>18</v>
      </c>
      <c r="I121" s="2">
        <v>10</v>
      </c>
      <c r="J121" t="s">
        <v>16</v>
      </c>
      <c r="K121" s="2">
        <v>0</v>
      </c>
      <c r="L121" s="2">
        <v>35</v>
      </c>
      <c r="M121" s="2">
        <v>10</v>
      </c>
    </row>
    <row r="122" spans="1:13">
      <c r="A122" t="s">
        <v>261</v>
      </c>
      <c r="B122" t="s">
        <v>262</v>
      </c>
      <c r="C122" t="s">
        <v>28</v>
      </c>
      <c r="D122" s="1">
        <v>45430</v>
      </c>
      <c r="E122" t="s">
        <v>16</v>
      </c>
      <c r="F122" s="2">
        <v>15</v>
      </c>
      <c r="G122" t="s">
        <v>17</v>
      </c>
      <c r="H122" t="s">
        <v>18</v>
      </c>
      <c r="I122" s="2">
        <v>10</v>
      </c>
      <c r="J122" t="s">
        <v>18</v>
      </c>
      <c r="K122" s="2">
        <v>20</v>
      </c>
      <c r="L122" s="2">
        <v>35</v>
      </c>
      <c r="M122" s="2">
        <v>10</v>
      </c>
    </row>
    <row r="123" spans="1:13">
      <c r="A123" t="s">
        <v>263</v>
      </c>
      <c r="B123" t="s">
        <v>264</v>
      </c>
      <c r="C123" t="s">
        <v>15</v>
      </c>
      <c r="D123" s="1">
        <v>45437</v>
      </c>
      <c r="E123" t="s">
        <v>16</v>
      </c>
      <c r="F123" s="2">
        <v>20</v>
      </c>
      <c r="G123" t="s">
        <v>17</v>
      </c>
      <c r="H123" t="s">
        <v>18</v>
      </c>
      <c r="I123" s="2">
        <v>10</v>
      </c>
      <c r="J123" t="s">
        <v>18</v>
      </c>
      <c r="K123" s="2">
        <v>20</v>
      </c>
      <c r="L123" s="2">
        <v>10</v>
      </c>
      <c r="M123" s="2">
        <v>40</v>
      </c>
    </row>
    <row r="124" spans="1:13">
      <c r="A124" t="s">
        <v>265</v>
      </c>
      <c r="B124" t="s">
        <v>266</v>
      </c>
      <c r="C124" t="s">
        <v>28</v>
      </c>
      <c r="D124" s="1">
        <v>45444</v>
      </c>
      <c r="E124" t="s">
        <v>18</v>
      </c>
      <c r="F124" s="2">
        <v>25</v>
      </c>
      <c r="G124" t="s">
        <v>25</v>
      </c>
      <c r="H124" t="s">
        <v>18</v>
      </c>
      <c r="I124" s="2">
        <v>10</v>
      </c>
      <c r="J124" t="s">
        <v>18</v>
      </c>
      <c r="K124" s="2">
        <v>20</v>
      </c>
      <c r="L124" s="2">
        <v>15</v>
      </c>
      <c r="M124" s="2">
        <v>40</v>
      </c>
    </row>
    <row r="125" spans="1:13">
      <c r="A125" t="s">
        <v>267</v>
      </c>
      <c r="B125" t="s">
        <v>268</v>
      </c>
      <c r="C125" t="s">
        <v>28</v>
      </c>
      <c r="D125" s="1">
        <v>45451</v>
      </c>
      <c r="E125" t="s">
        <v>18</v>
      </c>
      <c r="F125" s="2">
        <v>30</v>
      </c>
      <c r="G125" t="s">
        <v>25</v>
      </c>
      <c r="H125" t="s">
        <v>18</v>
      </c>
      <c r="I125" s="2">
        <v>10</v>
      </c>
      <c r="J125" t="s">
        <v>16</v>
      </c>
      <c r="K125" s="2">
        <v>0</v>
      </c>
      <c r="L125" s="2">
        <v>30</v>
      </c>
      <c r="M125" s="2">
        <v>10</v>
      </c>
    </row>
    <row r="126" spans="1:13">
      <c r="A126" t="s">
        <v>269</v>
      </c>
      <c r="B126" t="s">
        <v>270</v>
      </c>
      <c r="C126" t="s">
        <v>28</v>
      </c>
      <c r="D126" s="1">
        <v>45458</v>
      </c>
      <c r="E126" t="s">
        <v>16</v>
      </c>
      <c r="F126" s="2">
        <v>35</v>
      </c>
      <c r="G126" t="s">
        <v>17</v>
      </c>
      <c r="H126" t="s">
        <v>18</v>
      </c>
      <c r="I126" s="2">
        <v>10</v>
      </c>
      <c r="J126" t="s">
        <v>16</v>
      </c>
      <c r="K126" s="2">
        <v>0</v>
      </c>
      <c r="L126" s="2">
        <v>5</v>
      </c>
      <c r="M126" s="2">
        <v>40</v>
      </c>
    </row>
    <row r="127" spans="1:13">
      <c r="A127" t="s">
        <v>271</v>
      </c>
      <c r="B127" t="s">
        <v>272</v>
      </c>
      <c r="C127" t="s">
        <v>28</v>
      </c>
      <c r="D127" s="1">
        <v>45465</v>
      </c>
      <c r="E127" t="s">
        <v>16</v>
      </c>
      <c r="F127" s="2">
        <v>15</v>
      </c>
      <c r="G127" t="s">
        <v>21</v>
      </c>
      <c r="H127" t="s">
        <v>18</v>
      </c>
      <c r="I127" s="2">
        <v>10</v>
      </c>
      <c r="J127" t="s">
        <v>18</v>
      </c>
      <c r="K127" s="2">
        <v>20</v>
      </c>
      <c r="L127" s="2">
        <v>5</v>
      </c>
      <c r="M127" s="2">
        <v>40</v>
      </c>
    </row>
    <row r="128" spans="1:13">
      <c r="A128" t="s">
        <v>273</v>
      </c>
      <c r="B128" t="s">
        <v>274</v>
      </c>
      <c r="C128" t="s">
        <v>28</v>
      </c>
      <c r="D128" s="1">
        <v>45472</v>
      </c>
      <c r="E128" t="s">
        <v>16</v>
      </c>
      <c r="F128" s="2">
        <v>30</v>
      </c>
      <c r="G128" t="s">
        <v>21</v>
      </c>
      <c r="H128" t="s">
        <v>18</v>
      </c>
      <c r="I128" s="2">
        <v>10</v>
      </c>
      <c r="J128" t="s">
        <v>16</v>
      </c>
      <c r="K128" s="2">
        <v>0</v>
      </c>
      <c r="L128" s="2">
        <v>0</v>
      </c>
      <c r="M128" s="2">
        <v>40</v>
      </c>
    </row>
    <row r="129" spans="1:13">
      <c r="A129" t="s">
        <v>275</v>
      </c>
      <c r="B129" t="s">
        <v>276</v>
      </c>
      <c r="C129" t="s">
        <v>28</v>
      </c>
      <c r="D129" s="1">
        <v>45479</v>
      </c>
      <c r="E129" t="s">
        <v>18</v>
      </c>
      <c r="F129" s="2">
        <v>30</v>
      </c>
      <c r="G129" t="s">
        <v>25</v>
      </c>
      <c r="H129" t="s">
        <v>18</v>
      </c>
      <c r="I129" s="2">
        <v>10</v>
      </c>
      <c r="J129" t="s">
        <v>16</v>
      </c>
      <c r="K129" s="2">
        <v>0</v>
      </c>
      <c r="L129" s="2">
        <v>0</v>
      </c>
      <c r="M129" s="2">
        <v>40</v>
      </c>
    </row>
    <row r="130" spans="1:13">
      <c r="A130" t="s">
        <v>277</v>
      </c>
      <c r="B130" t="s">
        <v>278</v>
      </c>
      <c r="C130" t="s">
        <v>24</v>
      </c>
      <c r="D130" s="1">
        <v>45486</v>
      </c>
      <c r="E130" t="s">
        <v>16</v>
      </c>
      <c r="F130" s="2">
        <v>30</v>
      </c>
      <c r="G130" t="s">
        <v>21</v>
      </c>
      <c r="H130" t="s">
        <v>18</v>
      </c>
      <c r="I130" s="2">
        <v>10</v>
      </c>
      <c r="J130" t="s">
        <v>16</v>
      </c>
      <c r="K130" s="2">
        <v>0</v>
      </c>
      <c r="L130" s="2">
        <v>0</v>
      </c>
      <c r="M130" s="2">
        <v>40</v>
      </c>
    </row>
    <row r="131" spans="1:13">
      <c r="A131" t="s">
        <v>279</v>
      </c>
      <c r="B131" t="s">
        <v>280</v>
      </c>
      <c r="C131" t="s">
        <v>24</v>
      </c>
      <c r="D131" s="1">
        <v>45493</v>
      </c>
      <c r="E131" t="s">
        <v>18</v>
      </c>
      <c r="F131" s="2">
        <v>35</v>
      </c>
      <c r="G131" t="s">
        <v>21</v>
      </c>
      <c r="H131" t="s">
        <v>18</v>
      </c>
      <c r="I131" s="2">
        <v>10</v>
      </c>
      <c r="J131" t="s">
        <v>18</v>
      </c>
      <c r="K131" s="2">
        <v>20</v>
      </c>
      <c r="L131" s="2">
        <v>25</v>
      </c>
      <c r="M131" s="2">
        <v>40</v>
      </c>
    </row>
    <row r="132" spans="1:13">
      <c r="A132" t="s">
        <v>281</v>
      </c>
      <c r="B132" t="s">
        <v>282</v>
      </c>
      <c r="C132" t="s">
        <v>24</v>
      </c>
      <c r="D132" s="1">
        <v>45500</v>
      </c>
      <c r="E132" t="s">
        <v>18</v>
      </c>
      <c r="F132" s="2">
        <v>15</v>
      </c>
      <c r="G132" t="s">
        <v>25</v>
      </c>
      <c r="H132" t="s">
        <v>18</v>
      </c>
      <c r="I132" s="2">
        <v>10</v>
      </c>
      <c r="J132" t="s">
        <v>18</v>
      </c>
      <c r="K132" s="2">
        <v>20</v>
      </c>
      <c r="L132" s="2">
        <v>35</v>
      </c>
      <c r="M132" s="2">
        <v>10</v>
      </c>
    </row>
    <row r="133" spans="1:13">
      <c r="A133" t="s">
        <v>283</v>
      </c>
      <c r="B133" t="s">
        <v>284</v>
      </c>
      <c r="C133" t="s">
        <v>15</v>
      </c>
      <c r="D133" s="1">
        <v>45507</v>
      </c>
      <c r="E133" t="s">
        <v>18</v>
      </c>
      <c r="F133" s="2">
        <v>20</v>
      </c>
      <c r="G133" t="s">
        <v>25</v>
      </c>
      <c r="H133" t="s">
        <v>18</v>
      </c>
      <c r="I133" s="2">
        <v>10</v>
      </c>
      <c r="J133" t="s">
        <v>18</v>
      </c>
      <c r="K133" s="2">
        <v>20</v>
      </c>
      <c r="L133" s="2">
        <v>10</v>
      </c>
      <c r="M133" s="2">
        <v>40</v>
      </c>
    </row>
    <row r="134" spans="1:13">
      <c r="A134" t="s">
        <v>285</v>
      </c>
      <c r="B134" t="s">
        <v>286</v>
      </c>
      <c r="C134" t="s">
        <v>28</v>
      </c>
      <c r="D134" s="1">
        <v>45514</v>
      </c>
      <c r="E134" t="s">
        <v>18</v>
      </c>
      <c r="F134" s="2">
        <v>25</v>
      </c>
      <c r="G134" t="s">
        <v>25</v>
      </c>
      <c r="H134" t="s">
        <v>18</v>
      </c>
      <c r="I134" s="2">
        <v>10</v>
      </c>
      <c r="J134" t="s">
        <v>18</v>
      </c>
      <c r="K134" s="2">
        <v>20</v>
      </c>
      <c r="L134" s="2">
        <v>15</v>
      </c>
      <c r="M134" s="2">
        <v>40</v>
      </c>
    </row>
    <row r="135" spans="1:13">
      <c r="A135" t="s">
        <v>287</v>
      </c>
      <c r="B135" t="s">
        <v>288</v>
      </c>
      <c r="C135" t="s">
        <v>15</v>
      </c>
      <c r="D135" s="1">
        <v>45521</v>
      </c>
      <c r="E135" t="s">
        <v>18</v>
      </c>
      <c r="F135" s="2">
        <v>30</v>
      </c>
      <c r="G135" t="s">
        <v>17</v>
      </c>
      <c r="H135" t="s">
        <v>18</v>
      </c>
      <c r="I135" s="2">
        <v>10</v>
      </c>
      <c r="J135" t="s">
        <v>18</v>
      </c>
      <c r="K135" s="2">
        <v>20</v>
      </c>
      <c r="L135" s="2">
        <v>20</v>
      </c>
      <c r="M135" s="2">
        <v>40</v>
      </c>
    </row>
    <row r="136" spans="1:13">
      <c r="A136" t="s">
        <v>289</v>
      </c>
      <c r="B136" t="s">
        <v>290</v>
      </c>
      <c r="C136" t="s">
        <v>28</v>
      </c>
      <c r="D136" s="1">
        <v>45528</v>
      </c>
      <c r="E136" t="s">
        <v>18</v>
      </c>
      <c r="F136" s="2">
        <v>35</v>
      </c>
      <c r="G136" t="s">
        <v>21</v>
      </c>
      <c r="H136" t="s">
        <v>18</v>
      </c>
      <c r="I136" s="2">
        <v>10</v>
      </c>
      <c r="J136" t="s">
        <v>16</v>
      </c>
      <c r="K136" s="2">
        <v>0</v>
      </c>
      <c r="L136" s="2">
        <v>35</v>
      </c>
      <c r="M136" s="2">
        <v>10</v>
      </c>
    </row>
    <row r="137" spans="1:13">
      <c r="A137" t="s">
        <v>291</v>
      </c>
      <c r="B137" t="s">
        <v>292</v>
      </c>
      <c r="C137" t="s">
        <v>24</v>
      </c>
      <c r="D137" s="1">
        <v>45535</v>
      </c>
      <c r="E137" t="s">
        <v>18</v>
      </c>
      <c r="F137" s="2">
        <v>15</v>
      </c>
      <c r="G137" t="s">
        <v>25</v>
      </c>
      <c r="H137" t="s">
        <v>18</v>
      </c>
      <c r="I137" s="2">
        <v>10</v>
      </c>
      <c r="J137" t="s">
        <v>18</v>
      </c>
      <c r="K137" s="2">
        <v>20</v>
      </c>
      <c r="L137" s="2">
        <v>5</v>
      </c>
      <c r="M137" s="2">
        <v>40</v>
      </c>
    </row>
    <row r="138" spans="1:13">
      <c r="A138" t="s">
        <v>293</v>
      </c>
      <c r="B138" t="s">
        <v>294</v>
      </c>
      <c r="C138" t="s">
        <v>24</v>
      </c>
      <c r="D138" s="1">
        <v>45542</v>
      </c>
      <c r="E138" t="s">
        <v>16</v>
      </c>
      <c r="F138" s="2">
        <v>20</v>
      </c>
      <c r="G138" t="s">
        <v>17</v>
      </c>
      <c r="H138" t="s">
        <v>18</v>
      </c>
      <c r="I138" s="2">
        <v>10</v>
      </c>
      <c r="J138" t="s">
        <v>18</v>
      </c>
      <c r="K138" s="2">
        <v>20</v>
      </c>
      <c r="L138" s="2">
        <v>10</v>
      </c>
      <c r="M138" s="2">
        <v>40</v>
      </c>
    </row>
    <row r="139" spans="1:13">
      <c r="A139" t="s">
        <v>295</v>
      </c>
      <c r="B139" t="s">
        <v>296</v>
      </c>
      <c r="C139" t="s">
        <v>24</v>
      </c>
      <c r="D139" s="1">
        <v>45549</v>
      </c>
      <c r="E139" t="s">
        <v>18</v>
      </c>
      <c r="F139" s="2">
        <v>30</v>
      </c>
      <c r="G139" t="s">
        <v>17</v>
      </c>
      <c r="H139" t="s">
        <v>18</v>
      </c>
      <c r="I139" s="2">
        <v>10</v>
      </c>
      <c r="J139" t="s">
        <v>16</v>
      </c>
      <c r="K139" s="2">
        <v>0</v>
      </c>
      <c r="L139" s="2">
        <v>0</v>
      </c>
      <c r="M139" s="2">
        <v>40</v>
      </c>
    </row>
    <row r="140" spans="1:13">
      <c r="A140" t="s">
        <v>297</v>
      </c>
      <c r="B140" t="s">
        <v>298</v>
      </c>
      <c r="C140" t="s">
        <v>24</v>
      </c>
      <c r="D140" s="1">
        <v>45556</v>
      </c>
      <c r="E140" t="s">
        <v>16</v>
      </c>
      <c r="F140" s="2">
        <v>30</v>
      </c>
      <c r="G140" t="s">
        <v>21</v>
      </c>
      <c r="H140" t="s">
        <v>18</v>
      </c>
      <c r="I140" s="2">
        <v>10</v>
      </c>
      <c r="J140" t="s">
        <v>16</v>
      </c>
      <c r="K140" s="2">
        <v>0</v>
      </c>
      <c r="L140" s="2">
        <v>0</v>
      </c>
      <c r="M140" s="2">
        <v>40</v>
      </c>
    </row>
    <row r="141" spans="1:13">
      <c r="A141" t="s">
        <v>299</v>
      </c>
      <c r="B141" t="s">
        <v>300</v>
      </c>
      <c r="C141" t="s">
        <v>15</v>
      </c>
      <c r="D141" s="1">
        <v>45563</v>
      </c>
      <c r="E141" t="s">
        <v>16</v>
      </c>
      <c r="F141" s="2">
        <v>35</v>
      </c>
      <c r="G141" t="s">
        <v>25</v>
      </c>
      <c r="H141" t="s">
        <v>18</v>
      </c>
      <c r="I141" s="2">
        <v>10</v>
      </c>
      <c r="J141" t="s">
        <v>18</v>
      </c>
      <c r="K141" s="2">
        <v>20</v>
      </c>
      <c r="L141" s="2">
        <v>55</v>
      </c>
      <c r="M141" s="2">
        <v>10</v>
      </c>
    </row>
    <row r="142" spans="1:13">
      <c r="A142" t="s">
        <v>301</v>
      </c>
      <c r="B142" t="s">
        <v>302</v>
      </c>
      <c r="C142" t="s">
        <v>28</v>
      </c>
      <c r="D142" s="1">
        <v>45570</v>
      </c>
      <c r="E142" t="s">
        <v>16</v>
      </c>
      <c r="F142" s="2">
        <v>15</v>
      </c>
      <c r="G142" t="s">
        <v>25</v>
      </c>
      <c r="H142" t="s">
        <v>18</v>
      </c>
      <c r="I142" s="2">
        <v>10</v>
      </c>
      <c r="J142" t="s">
        <v>18</v>
      </c>
      <c r="K142" s="2">
        <v>20</v>
      </c>
      <c r="L142" s="2">
        <v>5</v>
      </c>
      <c r="M142" s="2">
        <v>40</v>
      </c>
    </row>
    <row r="143" spans="1:13">
      <c r="A143" t="s">
        <v>303</v>
      </c>
      <c r="B143" t="s">
        <v>304</v>
      </c>
      <c r="C143" t="s">
        <v>24</v>
      </c>
      <c r="D143" s="1">
        <v>45577</v>
      </c>
      <c r="E143" t="s">
        <v>16</v>
      </c>
      <c r="F143" s="2">
        <v>30</v>
      </c>
      <c r="G143" t="s">
        <v>21</v>
      </c>
      <c r="H143" t="s">
        <v>18</v>
      </c>
      <c r="I143" s="2">
        <v>10</v>
      </c>
      <c r="J143" t="s">
        <v>16</v>
      </c>
      <c r="K143" s="2">
        <v>0</v>
      </c>
      <c r="L143" s="2">
        <v>0</v>
      </c>
      <c r="M143" s="2">
        <v>40</v>
      </c>
    </row>
    <row r="144" spans="1:13">
      <c r="A144" t="s">
        <v>305</v>
      </c>
      <c r="B144" t="s">
        <v>306</v>
      </c>
      <c r="C144" t="s">
        <v>24</v>
      </c>
      <c r="D144" s="1">
        <v>45584</v>
      </c>
      <c r="E144" t="s">
        <v>16</v>
      </c>
      <c r="F144" s="2">
        <v>25</v>
      </c>
      <c r="G144" t="s">
        <v>21</v>
      </c>
      <c r="H144" t="s">
        <v>18</v>
      </c>
      <c r="I144" s="2">
        <v>10</v>
      </c>
      <c r="J144" t="s">
        <v>18</v>
      </c>
      <c r="K144" s="2">
        <v>20</v>
      </c>
      <c r="L144" s="2">
        <v>15</v>
      </c>
      <c r="M144" s="2">
        <v>40</v>
      </c>
    </row>
    <row r="145" spans="1:13">
      <c r="A145" t="s">
        <v>307</v>
      </c>
      <c r="B145" t="s">
        <v>308</v>
      </c>
      <c r="C145" t="s">
        <v>28</v>
      </c>
      <c r="D145" s="1">
        <v>45591</v>
      </c>
      <c r="E145" t="s">
        <v>18</v>
      </c>
      <c r="F145" s="2">
        <v>30</v>
      </c>
      <c r="G145" t="s">
        <v>17</v>
      </c>
      <c r="H145" t="s">
        <v>18</v>
      </c>
      <c r="I145" s="2">
        <v>10</v>
      </c>
      <c r="J145" t="s">
        <v>18</v>
      </c>
      <c r="K145" s="2">
        <v>20</v>
      </c>
      <c r="L145" s="2">
        <v>50</v>
      </c>
      <c r="M145" s="2">
        <v>10</v>
      </c>
    </row>
    <row r="146" spans="1:13">
      <c r="A146" t="s">
        <v>309</v>
      </c>
      <c r="B146" t="s">
        <v>310</v>
      </c>
      <c r="C146" t="s">
        <v>28</v>
      </c>
      <c r="D146" s="1">
        <v>45598</v>
      </c>
      <c r="E146" t="s">
        <v>16</v>
      </c>
      <c r="F146" s="2">
        <v>35</v>
      </c>
      <c r="G146" t="s">
        <v>21</v>
      </c>
      <c r="H146" t="s">
        <v>18</v>
      </c>
      <c r="I146" s="2">
        <v>10</v>
      </c>
      <c r="J146" t="s">
        <v>16</v>
      </c>
      <c r="K146" s="2">
        <v>0</v>
      </c>
      <c r="L146" s="2">
        <v>5</v>
      </c>
      <c r="M146" s="2">
        <v>40</v>
      </c>
    </row>
    <row r="147" spans="1:13">
      <c r="A147" t="s">
        <v>311</v>
      </c>
      <c r="B147" t="s">
        <v>312</v>
      </c>
      <c r="C147" t="s">
        <v>28</v>
      </c>
      <c r="D147" s="1">
        <v>45605</v>
      </c>
      <c r="E147" t="s">
        <v>16</v>
      </c>
      <c r="F147" s="2">
        <v>15</v>
      </c>
      <c r="G147" t="s">
        <v>21</v>
      </c>
      <c r="H147" t="s">
        <v>18</v>
      </c>
      <c r="I147" s="2">
        <v>10</v>
      </c>
      <c r="J147" t="s">
        <v>18</v>
      </c>
      <c r="K147" s="2">
        <v>20</v>
      </c>
      <c r="L147" s="2">
        <v>35</v>
      </c>
      <c r="M147" s="2">
        <v>10</v>
      </c>
    </row>
    <row r="148" spans="1:13">
      <c r="A148" t="s">
        <v>313</v>
      </c>
      <c r="B148" t="s">
        <v>314</v>
      </c>
      <c r="C148" t="s">
        <v>28</v>
      </c>
      <c r="D148" s="1">
        <v>45612</v>
      </c>
      <c r="E148" t="s">
        <v>18</v>
      </c>
      <c r="F148" s="2">
        <v>20</v>
      </c>
      <c r="G148" t="s">
        <v>25</v>
      </c>
      <c r="H148" t="s">
        <v>18</v>
      </c>
      <c r="I148" s="2">
        <v>10</v>
      </c>
      <c r="J148" t="s">
        <v>18</v>
      </c>
      <c r="K148" s="2">
        <v>20</v>
      </c>
      <c r="L148" s="2">
        <v>10</v>
      </c>
      <c r="M148" s="2">
        <v>40</v>
      </c>
    </row>
    <row r="149" spans="1:13">
      <c r="A149" t="s">
        <v>315</v>
      </c>
      <c r="B149" t="s">
        <v>316</v>
      </c>
      <c r="C149" t="s">
        <v>28</v>
      </c>
      <c r="D149" s="1">
        <v>45619</v>
      </c>
      <c r="E149" t="s">
        <v>18</v>
      </c>
      <c r="F149" s="2">
        <v>25</v>
      </c>
      <c r="G149" t="s">
        <v>17</v>
      </c>
      <c r="H149" t="s">
        <v>18</v>
      </c>
      <c r="I149" s="2">
        <v>10</v>
      </c>
      <c r="J149" t="s">
        <v>18</v>
      </c>
      <c r="K149" s="2">
        <v>20</v>
      </c>
      <c r="L149" s="2">
        <v>15</v>
      </c>
      <c r="M149" s="2">
        <v>40</v>
      </c>
    </row>
    <row r="150" spans="1:13">
      <c r="A150" t="s">
        <v>317</v>
      </c>
      <c r="B150" t="s">
        <v>318</v>
      </c>
      <c r="C150" t="s">
        <v>28</v>
      </c>
      <c r="D150" s="1">
        <v>45626</v>
      </c>
      <c r="E150" t="s">
        <v>16</v>
      </c>
      <c r="F150" s="2">
        <v>30</v>
      </c>
      <c r="G150" t="s">
        <v>17</v>
      </c>
      <c r="H150" t="s">
        <v>18</v>
      </c>
      <c r="I150" s="2">
        <v>10</v>
      </c>
      <c r="J150" t="s">
        <v>16</v>
      </c>
      <c r="K150" s="2">
        <v>0</v>
      </c>
      <c r="L150" s="2">
        <v>0</v>
      </c>
      <c r="M150" s="2">
        <v>40</v>
      </c>
    </row>
    <row r="151" spans="1:13">
      <c r="A151" t="s">
        <v>319</v>
      </c>
      <c r="B151" t="s">
        <v>320</v>
      </c>
      <c r="C151" t="s">
        <v>24</v>
      </c>
      <c r="D151" s="1">
        <v>45633</v>
      </c>
      <c r="E151" t="s">
        <v>18</v>
      </c>
      <c r="F151" s="2">
        <v>35</v>
      </c>
      <c r="G151" t="s">
        <v>17</v>
      </c>
      <c r="H151" t="s">
        <v>18</v>
      </c>
      <c r="I151" s="2">
        <v>10</v>
      </c>
      <c r="J151" t="s">
        <v>18</v>
      </c>
      <c r="K151" s="2">
        <v>20</v>
      </c>
      <c r="L151" s="2">
        <v>25</v>
      </c>
      <c r="M151" s="2">
        <v>40</v>
      </c>
    </row>
    <row r="152" spans="1:13">
      <c r="A152" t="s">
        <v>321</v>
      </c>
      <c r="B152" t="s">
        <v>322</v>
      </c>
      <c r="C152" t="s">
        <v>28</v>
      </c>
      <c r="D152" s="1">
        <v>45640</v>
      </c>
      <c r="E152" t="s">
        <v>16</v>
      </c>
      <c r="F152" s="2">
        <v>30</v>
      </c>
      <c r="G152" t="s">
        <v>25</v>
      </c>
      <c r="H152" t="s">
        <v>18</v>
      </c>
      <c r="I152" s="2">
        <v>10</v>
      </c>
      <c r="J152" t="s">
        <v>16</v>
      </c>
      <c r="K152" s="2">
        <v>0</v>
      </c>
      <c r="L152" s="2">
        <v>0</v>
      </c>
      <c r="M152" s="2">
        <v>40</v>
      </c>
    </row>
    <row r="153" spans="1:13">
      <c r="A153" t="s">
        <v>323</v>
      </c>
      <c r="B153" t="s">
        <v>324</v>
      </c>
      <c r="C153" t="s">
        <v>15</v>
      </c>
      <c r="D153" s="1">
        <v>45296</v>
      </c>
      <c r="E153" t="s">
        <v>16</v>
      </c>
      <c r="F153" s="2">
        <v>30</v>
      </c>
      <c r="G153" t="s">
        <v>17</v>
      </c>
      <c r="H153" t="s">
        <v>18</v>
      </c>
      <c r="I153" s="2">
        <v>10</v>
      </c>
      <c r="J153" t="s">
        <v>16</v>
      </c>
      <c r="K153" s="2">
        <v>0</v>
      </c>
      <c r="L153" s="2">
        <v>0</v>
      </c>
      <c r="M153" s="2">
        <v>40</v>
      </c>
    </row>
    <row r="154" spans="1:13">
      <c r="A154" t="s">
        <v>325</v>
      </c>
      <c r="B154" t="s">
        <v>326</v>
      </c>
      <c r="C154" t="s">
        <v>28</v>
      </c>
      <c r="D154" s="1">
        <v>45303</v>
      </c>
      <c r="E154" t="s">
        <v>16</v>
      </c>
      <c r="F154" s="2">
        <v>25</v>
      </c>
      <c r="G154" t="s">
        <v>17</v>
      </c>
      <c r="H154" t="s">
        <v>18</v>
      </c>
      <c r="I154" s="2">
        <v>10</v>
      </c>
      <c r="J154" t="s">
        <v>18</v>
      </c>
      <c r="K154" s="2">
        <v>20</v>
      </c>
      <c r="L154" s="2">
        <v>45</v>
      </c>
      <c r="M154" s="2">
        <v>10</v>
      </c>
    </row>
    <row r="155" spans="1:13">
      <c r="A155" t="s">
        <v>327</v>
      </c>
      <c r="B155" t="s">
        <v>328</v>
      </c>
      <c r="C155" t="s">
        <v>24</v>
      </c>
      <c r="D155" s="1">
        <v>45310</v>
      </c>
      <c r="E155" t="s">
        <v>16</v>
      </c>
      <c r="F155" s="2">
        <v>30</v>
      </c>
      <c r="G155" t="s">
        <v>17</v>
      </c>
      <c r="H155" t="s">
        <v>18</v>
      </c>
      <c r="I155" s="2">
        <v>10</v>
      </c>
      <c r="J155" t="s">
        <v>18</v>
      </c>
      <c r="K155" s="2">
        <v>20</v>
      </c>
      <c r="L155" s="2">
        <v>50</v>
      </c>
      <c r="M155" s="2">
        <v>10</v>
      </c>
    </row>
    <row r="156" spans="1:13">
      <c r="A156" t="s">
        <v>329</v>
      </c>
      <c r="B156" t="s">
        <v>330</v>
      </c>
      <c r="C156" t="s">
        <v>28</v>
      </c>
      <c r="D156" s="1">
        <v>45317</v>
      </c>
      <c r="E156" t="s">
        <v>18</v>
      </c>
      <c r="F156" s="2">
        <v>35</v>
      </c>
      <c r="G156" t="s">
        <v>21</v>
      </c>
      <c r="H156" t="s">
        <v>18</v>
      </c>
      <c r="I156" s="2">
        <v>10</v>
      </c>
      <c r="J156" t="s">
        <v>18</v>
      </c>
      <c r="K156" s="2">
        <v>20</v>
      </c>
      <c r="L156" s="2">
        <v>25</v>
      </c>
      <c r="M156" s="2">
        <v>40</v>
      </c>
    </row>
    <row r="157" spans="1:13">
      <c r="A157" t="s">
        <v>331</v>
      </c>
      <c r="B157" t="s">
        <v>332</v>
      </c>
      <c r="C157" t="s">
        <v>28</v>
      </c>
      <c r="D157" s="1">
        <v>45324</v>
      </c>
      <c r="E157" t="s">
        <v>16</v>
      </c>
      <c r="F157" s="2">
        <v>15</v>
      </c>
      <c r="G157" t="s">
        <v>17</v>
      </c>
      <c r="H157" t="s">
        <v>18</v>
      </c>
      <c r="I157" s="2">
        <v>10</v>
      </c>
      <c r="J157" t="s">
        <v>18</v>
      </c>
      <c r="K157" s="2">
        <v>20</v>
      </c>
      <c r="L157" s="2">
        <v>35</v>
      </c>
      <c r="M157" s="2">
        <v>10</v>
      </c>
    </row>
    <row r="158" spans="1:13">
      <c r="A158" t="s">
        <v>333</v>
      </c>
      <c r="B158" t="s">
        <v>334</v>
      </c>
      <c r="C158" t="s">
        <v>24</v>
      </c>
      <c r="D158" s="1">
        <v>45331</v>
      </c>
      <c r="E158" t="s">
        <v>16</v>
      </c>
      <c r="F158" s="2">
        <v>30</v>
      </c>
      <c r="G158" t="s">
        <v>21</v>
      </c>
      <c r="H158" t="s">
        <v>18</v>
      </c>
      <c r="I158" s="2">
        <v>10</v>
      </c>
      <c r="J158" t="s">
        <v>16</v>
      </c>
      <c r="K158" s="2">
        <v>0</v>
      </c>
      <c r="L158" s="2">
        <v>0</v>
      </c>
      <c r="M158" s="2">
        <v>40</v>
      </c>
    </row>
    <row r="159" spans="1:13">
      <c r="A159" t="s">
        <v>335</v>
      </c>
      <c r="B159" t="s">
        <v>336</v>
      </c>
      <c r="C159" t="s">
        <v>28</v>
      </c>
      <c r="D159" s="1">
        <v>45338</v>
      </c>
      <c r="E159" t="s">
        <v>18</v>
      </c>
      <c r="F159" s="2">
        <v>25</v>
      </c>
      <c r="G159" t="s">
        <v>17</v>
      </c>
      <c r="H159" t="s">
        <v>18</v>
      </c>
      <c r="I159" s="2">
        <v>10</v>
      </c>
      <c r="J159" t="s">
        <v>18</v>
      </c>
      <c r="K159" s="2">
        <v>20</v>
      </c>
      <c r="L159" s="2">
        <v>15</v>
      </c>
      <c r="M159" s="2">
        <v>40</v>
      </c>
    </row>
    <row r="160" spans="1:13">
      <c r="A160" t="s">
        <v>337</v>
      </c>
      <c r="B160" t="s">
        <v>338</v>
      </c>
      <c r="C160" t="s">
        <v>28</v>
      </c>
      <c r="D160" s="1">
        <v>45345</v>
      </c>
      <c r="E160" t="s">
        <v>18</v>
      </c>
      <c r="F160" s="2">
        <v>30</v>
      </c>
      <c r="G160" t="s">
        <v>17</v>
      </c>
      <c r="H160" t="s">
        <v>18</v>
      </c>
      <c r="I160" s="2">
        <v>10</v>
      </c>
      <c r="J160" t="s">
        <v>16</v>
      </c>
      <c r="K160" s="2">
        <v>0</v>
      </c>
      <c r="L160" s="2">
        <v>30</v>
      </c>
      <c r="M160" s="2">
        <v>10</v>
      </c>
    </row>
    <row r="161" spans="1:13">
      <c r="A161" t="s">
        <v>339</v>
      </c>
      <c r="B161" t="s">
        <v>340</v>
      </c>
      <c r="C161" t="s">
        <v>28</v>
      </c>
      <c r="D161" s="1">
        <v>45352</v>
      </c>
      <c r="E161" t="s">
        <v>18</v>
      </c>
      <c r="F161" s="2">
        <v>35</v>
      </c>
      <c r="G161" t="s">
        <v>25</v>
      </c>
      <c r="H161" t="s">
        <v>18</v>
      </c>
      <c r="I161" s="2">
        <v>10</v>
      </c>
      <c r="J161" t="s">
        <v>18</v>
      </c>
      <c r="K161" s="2">
        <v>20</v>
      </c>
      <c r="L161" s="2">
        <v>25</v>
      </c>
      <c r="M161" s="2">
        <v>40</v>
      </c>
    </row>
    <row r="162" spans="1:13">
      <c r="A162" t="s">
        <v>341</v>
      </c>
      <c r="B162" t="s">
        <v>342</v>
      </c>
      <c r="C162" t="s">
        <v>24</v>
      </c>
      <c r="D162" s="1">
        <v>45359</v>
      </c>
      <c r="E162" t="s">
        <v>18</v>
      </c>
      <c r="F162" s="2">
        <v>15</v>
      </c>
      <c r="G162" t="s">
        <v>21</v>
      </c>
      <c r="H162" t="s">
        <v>18</v>
      </c>
      <c r="I162" s="2">
        <v>10</v>
      </c>
      <c r="J162" t="s">
        <v>16</v>
      </c>
      <c r="K162" s="2">
        <v>0</v>
      </c>
      <c r="L162" s="2">
        <v>15</v>
      </c>
      <c r="M162" s="2">
        <v>10</v>
      </c>
    </row>
    <row r="163" spans="1:13">
      <c r="A163" t="s">
        <v>343</v>
      </c>
      <c r="B163" t="s">
        <v>344</v>
      </c>
      <c r="C163" t="s">
        <v>15</v>
      </c>
      <c r="D163" s="1">
        <v>45366</v>
      </c>
      <c r="E163" t="s">
        <v>16</v>
      </c>
      <c r="F163" s="2">
        <v>20</v>
      </c>
      <c r="G163" t="s">
        <v>17</v>
      </c>
      <c r="H163" t="s">
        <v>18</v>
      </c>
      <c r="I163" s="2">
        <v>10</v>
      </c>
      <c r="J163" t="s">
        <v>18</v>
      </c>
      <c r="K163" s="2">
        <v>20</v>
      </c>
      <c r="L163" s="2">
        <v>10</v>
      </c>
      <c r="M163" s="2">
        <v>40</v>
      </c>
    </row>
    <row r="164" spans="1:13">
      <c r="A164" t="s">
        <v>345</v>
      </c>
      <c r="B164" t="s">
        <v>346</v>
      </c>
      <c r="C164" t="s">
        <v>15</v>
      </c>
      <c r="D164" s="1">
        <v>45373</v>
      </c>
      <c r="E164" t="s">
        <v>18</v>
      </c>
      <c r="F164" s="2">
        <v>25</v>
      </c>
      <c r="G164" t="s">
        <v>25</v>
      </c>
      <c r="H164" t="s">
        <v>18</v>
      </c>
      <c r="I164" s="2">
        <v>10</v>
      </c>
      <c r="J164" t="s">
        <v>18</v>
      </c>
      <c r="K164" s="2">
        <v>20</v>
      </c>
      <c r="L164" s="2">
        <v>15</v>
      </c>
      <c r="M164" s="2">
        <v>40</v>
      </c>
    </row>
    <row r="165" spans="1:13">
      <c r="A165" t="s">
        <v>347</v>
      </c>
      <c r="B165" t="s">
        <v>348</v>
      </c>
      <c r="C165" t="s">
        <v>24</v>
      </c>
      <c r="D165" s="1">
        <v>45380</v>
      </c>
      <c r="E165" t="s">
        <v>18</v>
      </c>
      <c r="F165" s="2">
        <v>30</v>
      </c>
      <c r="G165" t="s">
        <v>17</v>
      </c>
      <c r="H165" t="s">
        <v>18</v>
      </c>
      <c r="I165" s="2">
        <v>10</v>
      </c>
      <c r="J165" t="s">
        <v>18</v>
      </c>
      <c r="K165" s="2">
        <v>20</v>
      </c>
      <c r="L165" s="2">
        <v>50</v>
      </c>
      <c r="M165" s="2">
        <v>10</v>
      </c>
    </row>
    <row r="166" spans="1:13">
      <c r="A166" t="s">
        <v>349</v>
      </c>
      <c r="B166" t="s">
        <v>350</v>
      </c>
      <c r="C166" t="s">
        <v>15</v>
      </c>
      <c r="D166" s="1">
        <v>45387</v>
      </c>
      <c r="E166" t="s">
        <v>18</v>
      </c>
      <c r="F166" s="2">
        <v>35</v>
      </c>
      <c r="G166" t="s">
        <v>17</v>
      </c>
      <c r="H166" t="s">
        <v>18</v>
      </c>
      <c r="I166" s="2">
        <v>10</v>
      </c>
      <c r="J166" t="s">
        <v>18</v>
      </c>
      <c r="K166" s="2">
        <v>20</v>
      </c>
      <c r="L166" s="2">
        <v>55</v>
      </c>
      <c r="M166" s="2">
        <v>10</v>
      </c>
    </row>
    <row r="167" spans="1:13">
      <c r="A167" t="s">
        <v>351</v>
      </c>
      <c r="B167" t="s">
        <v>352</v>
      </c>
      <c r="C167" t="s">
        <v>15</v>
      </c>
      <c r="D167" s="1">
        <v>45394</v>
      </c>
      <c r="E167" t="s">
        <v>16</v>
      </c>
      <c r="F167" s="2">
        <v>15</v>
      </c>
      <c r="G167" t="s">
        <v>21</v>
      </c>
      <c r="H167" t="s">
        <v>18</v>
      </c>
      <c r="I167" s="2">
        <v>10</v>
      </c>
      <c r="J167" t="s">
        <v>18</v>
      </c>
      <c r="K167" s="2">
        <v>20</v>
      </c>
      <c r="L167" s="2">
        <v>5</v>
      </c>
      <c r="M167" s="2">
        <v>40</v>
      </c>
    </row>
    <row r="168" spans="1:13">
      <c r="A168" t="s">
        <v>353</v>
      </c>
      <c r="B168" t="s">
        <v>354</v>
      </c>
      <c r="C168" t="s">
        <v>15</v>
      </c>
      <c r="D168" s="1">
        <v>45401</v>
      </c>
      <c r="E168" t="s">
        <v>16</v>
      </c>
      <c r="F168" s="2">
        <v>20</v>
      </c>
      <c r="G168" t="s">
        <v>21</v>
      </c>
      <c r="H168" t="s">
        <v>18</v>
      </c>
      <c r="I168" s="2">
        <v>10</v>
      </c>
      <c r="J168" t="s">
        <v>18</v>
      </c>
      <c r="K168" s="2">
        <v>20</v>
      </c>
      <c r="L168" s="2">
        <v>10</v>
      </c>
      <c r="M168" s="2">
        <v>40</v>
      </c>
    </row>
    <row r="169" spans="1:13">
      <c r="A169" t="s">
        <v>355</v>
      </c>
      <c r="B169" t="s">
        <v>356</v>
      </c>
      <c r="C169" t="s">
        <v>28</v>
      </c>
      <c r="D169" s="1">
        <v>45408</v>
      </c>
      <c r="E169" t="s">
        <v>16</v>
      </c>
      <c r="F169" s="2">
        <v>25</v>
      </c>
      <c r="G169" t="s">
        <v>25</v>
      </c>
      <c r="H169" t="s">
        <v>18</v>
      </c>
      <c r="I169" s="2">
        <v>10</v>
      </c>
      <c r="J169" t="s">
        <v>18</v>
      </c>
      <c r="K169" s="2">
        <v>20</v>
      </c>
      <c r="L169" s="2">
        <v>45</v>
      </c>
      <c r="M169" s="2">
        <v>10</v>
      </c>
    </row>
    <row r="170" spans="1:13">
      <c r="A170" t="s">
        <v>357</v>
      </c>
      <c r="B170" t="s">
        <v>358</v>
      </c>
      <c r="C170" t="s">
        <v>28</v>
      </c>
      <c r="D170" s="1">
        <v>45415</v>
      </c>
      <c r="E170" t="s">
        <v>16</v>
      </c>
      <c r="F170" s="2">
        <v>30</v>
      </c>
      <c r="G170" t="s">
        <v>25</v>
      </c>
      <c r="H170" t="s">
        <v>18</v>
      </c>
      <c r="I170" s="2">
        <v>10</v>
      </c>
      <c r="J170" t="s">
        <v>16</v>
      </c>
      <c r="K170" s="2">
        <v>0</v>
      </c>
      <c r="L170" s="2">
        <v>30</v>
      </c>
      <c r="M170" s="2">
        <v>10</v>
      </c>
    </row>
    <row r="171" spans="1:13">
      <c r="A171" t="s">
        <v>359</v>
      </c>
      <c r="B171" t="s">
        <v>360</v>
      </c>
      <c r="C171" t="s">
        <v>15</v>
      </c>
      <c r="D171" s="1">
        <v>45422</v>
      </c>
      <c r="E171" t="s">
        <v>16</v>
      </c>
      <c r="F171" s="2">
        <v>35</v>
      </c>
      <c r="G171" t="s">
        <v>17</v>
      </c>
      <c r="H171" t="s">
        <v>18</v>
      </c>
      <c r="I171" s="2">
        <v>10</v>
      </c>
      <c r="J171" t="s">
        <v>16</v>
      </c>
      <c r="K171" s="2">
        <v>0</v>
      </c>
      <c r="L171" s="2">
        <v>5</v>
      </c>
      <c r="M171" s="2">
        <v>40</v>
      </c>
    </row>
    <row r="172" spans="1:13">
      <c r="A172" t="s">
        <v>361</v>
      </c>
      <c r="B172" t="s">
        <v>362</v>
      </c>
      <c r="C172" t="s">
        <v>24</v>
      </c>
      <c r="D172" s="1">
        <v>45429</v>
      </c>
      <c r="E172" t="s">
        <v>18</v>
      </c>
      <c r="F172" s="2">
        <v>15</v>
      </c>
      <c r="G172" t="s">
        <v>17</v>
      </c>
      <c r="H172" t="s">
        <v>18</v>
      </c>
      <c r="I172" s="2">
        <v>10</v>
      </c>
      <c r="J172" t="s">
        <v>18</v>
      </c>
      <c r="K172" s="2">
        <v>20</v>
      </c>
      <c r="L172" s="2">
        <v>35</v>
      </c>
      <c r="M172" s="2">
        <v>10</v>
      </c>
    </row>
    <row r="173" spans="1:13">
      <c r="A173" t="s">
        <v>363</v>
      </c>
      <c r="B173" t="s">
        <v>364</v>
      </c>
      <c r="C173" t="s">
        <v>24</v>
      </c>
      <c r="D173" s="1">
        <v>45436</v>
      </c>
      <c r="E173" t="s">
        <v>16</v>
      </c>
      <c r="F173" s="2">
        <v>20</v>
      </c>
      <c r="G173" t="s">
        <v>17</v>
      </c>
      <c r="H173" t="s">
        <v>18</v>
      </c>
      <c r="I173" s="2">
        <v>10</v>
      </c>
      <c r="J173" t="s">
        <v>16</v>
      </c>
      <c r="K173" s="2">
        <v>0</v>
      </c>
      <c r="L173" s="2">
        <v>20</v>
      </c>
      <c r="M173" s="2">
        <v>10</v>
      </c>
    </row>
    <row r="174" spans="1:13">
      <c r="A174" t="s">
        <v>365</v>
      </c>
      <c r="B174" t="s">
        <v>366</v>
      </c>
      <c r="C174" t="s">
        <v>15</v>
      </c>
      <c r="D174" s="1">
        <v>45443</v>
      </c>
      <c r="E174" t="s">
        <v>16</v>
      </c>
      <c r="F174" s="2">
        <v>25</v>
      </c>
      <c r="G174" t="s">
        <v>21</v>
      </c>
      <c r="H174" t="s">
        <v>18</v>
      </c>
      <c r="I174" s="2">
        <v>10</v>
      </c>
      <c r="J174" t="s">
        <v>18</v>
      </c>
      <c r="K174" s="2">
        <v>20</v>
      </c>
      <c r="L174" s="2">
        <v>45</v>
      </c>
      <c r="M174" s="2">
        <v>10</v>
      </c>
    </row>
    <row r="175" spans="1:13">
      <c r="A175" t="s">
        <v>367</v>
      </c>
      <c r="B175" t="s">
        <v>368</v>
      </c>
      <c r="C175" t="s">
        <v>15</v>
      </c>
      <c r="D175" s="1">
        <v>45450</v>
      </c>
      <c r="E175" t="s">
        <v>18</v>
      </c>
      <c r="F175" s="2">
        <v>30</v>
      </c>
      <c r="G175" t="s">
        <v>17</v>
      </c>
      <c r="H175" t="s">
        <v>18</v>
      </c>
      <c r="I175" s="2">
        <v>10</v>
      </c>
      <c r="J175" t="s">
        <v>16</v>
      </c>
      <c r="K175" s="2">
        <v>0</v>
      </c>
      <c r="L175" s="2">
        <v>30</v>
      </c>
      <c r="M175" s="2">
        <v>10</v>
      </c>
    </row>
    <row r="176" spans="1:13">
      <c r="A176" t="s">
        <v>369</v>
      </c>
      <c r="B176" t="s">
        <v>370</v>
      </c>
      <c r="C176" t="s">
        <v>24</v>
      </c>
      <c r="D176" s="1">
        <v>45457</v>
      </c>
      <c r="E176" t="s">
        <v>18</v>
      </c>
      <c r="F176" s="2">
        <v>35</v>
      </c>
      <c r="G176" t="s">
        <v>25</v>
      </c>
      <c r="H176" t="s">
        <v>18</v>
      </c>
      <c r="I176" s="2">
        <v>10</v>
      </c>
      <c r="J176" t="s">
        <v>18</v>
      </c>
      <c r="K176" s="2">
        <v>20</v>
      </c>
      <c r="L176" s="2">
        <v>25</v>
      </c>
      <c r="M176" s="2">
        <v>40</v>
      </c>
    </row>
    <row r="177" spans="1:13">
      <c r="A177" t="s">
        <v>371</v>
      </c>
      <c r="B177" t="s">
        <v>372</v>
      </c>
      <c r="C177" t="s">
        <v>15</v>
      </c>
      <c r="D177" s="1">
        <v>45464</v>
      </c>
      <c r="E177" t="s">
        <v>16</v>
      </c>
      <c r="F177" s="2">
        <v>15</v>
      </c>
      <c r="G177" t="s">
        <v>21</v>
      </c>
      <c r="H177" t="s">
        <v>18</v>
      </c>
      <c r="I177" s="2">
        <v>10</v>
      </c>
      <c r="J177" t="s">
        <v>18</v>
      </c>
      <c r="K177" s="2">
        <v>20</v>
      </c>
      <c r="L177" s="2">
        <v>35</v>
      </c>
      <c r="M177" s="2">
        <v>10</v>
      </c>
    </row>
    <row r="178" spans="1:13">
      <c r="A178" t="s">
        <v>373</v>
      </c>
      <c r="B178" t="s">
        <v>374</v>
      </c>
      <c r="C178" t="s">
        <v>15</v>
      </c>
      <c r="D178" s="1">
        <v>45471</v>
      </c>
      <c r="E178" t="s">
        <v>18</v>
      </c>
      <c r="F178" s="2">
        <v>20</v>
      </c>
      <c r="G178" t="s">
        <v>17</v>
      </c>
      <c r="H178" t="s">
        <v>18</v>
      </c>
      <c r="I178" s="2">
        <v>10</v>
      </c>
      <c r="J178" t="s">
        <v>18</v>
      </c>
      <c r="K178" s="2">
        <v>20</v>
      </c>
      <c r="L178" s="2">
        <v>40</v>
      </c>
      <c r="M178" s="2">
        <v>10</v>
      </c>
    </row>
    <row r="179" spans="1:13">
      <c r="A179" t="s">
        <v>375</v>
      </c>
      <c r="B179" t="s">
        <v>376</v>
      </c>
      <c r="C179" t="s">
        <v>24</v>
      </c>
      <c r="D179" s="1">
        <v>45478</v>
      </c>
      <c r="E179" t="s">
        <v>18</v>
      </c>
      <c r="F179" s="2">
        <v>25</v>
      </c>
      <c r="G179" t="s">
        <v>25</v>
      </c>
      <c r="H179" t="s">
        <v>18</v>
      </c>
      <c r="I179" s="2">
        <v>10</v>
      </c>
      <c r="J179" t="s">
        <v>18</v>
      </c>
      <c r="K179" s="2">
        <v>20</v>
      </c>
      <c r="L179" s="2">
        <v>39</v>
      </c>
      <c r="M179" s="2">
        <v>16</v>
      </c>
    </row>
    <row r="180" spans="1:13">
      <c r="A180" t="s">
        <v>377</v>
      </c>
      <c r="B180" t="s">
        <v>378</v>
      </c>
      <c r="C180" t="s">
        <v>28</v>
      </c>
      <c r="D180" s="1">
        <v>45485</v>
      </c>
      <c r="E180" t="s">
        <v>18</v>
      </c>
      <c r="F180" s="2">
        <v>30</v>
      </c>
      <c r="G180" t="s">
        <v>17</v>
      </c>
      <c r="H180" t="s">
        <v>18</v>
      </c>
      <c r="I180" s="2">
        <v>10</v>
      </c>
      <c r="J180" t="s">
        <v>18</v>
      </c>
      <c r="K180" s="2">
        <v>20</v>
      </c>
      <c r="L180" s="2">
        <v>20</v>
      </c>
      <c r="M180" s="2">
        <v>40</v>
      </c>
    </row>
    <row r="181" spans="1:13">
      <c r="A181" t="s">
        <v>379</v>
      </c>
      <c r="B181" t="s">
        <v>380</v>
      </c>
      <c r="C181" t="s">
        <v>24</v>
      </c>
      <c r="D181" s="1">
        <v>45492</v>
      </c>
      <c r="E181" t="s">
        <v>18</v>
      </c>
      <c r="F181" s="2">
        <v>35</v>
      </c>
      <c r="G181" t="s">
        <v>21</v>
      </c>
      <c r="H181" t="s">
        <v>18</v>
      </c>
      <c r="I181" s="2">
        <v>10</v>
      </c>
      <c r="J181" t="s">
        <v>18</v>
      </c>
      <c r="K181" s="2">
        <v>20</v>
      </c>
      <c r="L181" s="2">
        <v>55</v>
      </c>
      <c r="M181" s="2">
        <v>10</v>
      </c>
    </row>
    <row r="182" spans="1:13">
      <c r="A182" t="s">
        <v>381</v>
      </c>
      <c r="B182" t="s">
        <v>382</v>
      </c>
      <c r="C182" t="s">
        <v>15</v>
      </c>
      <c r="D182" s="1">
        <v>45499</v>
      </c>
      <c r="E182" t="s">
        <v>16</v>
      </c>
      <c r="F182" s="2">
        <v>30</v>
      </c>
      <c r="G182" t="s">
        <v>21</v>
      </c>
      <c r="H182" t="s">
        <v>18</v>
      </c>
      <c r="I182" s="2">
        <v>10</v>
      </c>
      <c r="J182" t="s">
        <v>16</v>
      </c>
      <c r="K182" s="2">
        <v>0</v>
      </c>
      <c r="L182" s="2">
        <v>0</v>
      </c>
      <c r="M182" s="2">
        <v>40</v>
      </c>
    </row>
    <row r="183" spans="1:13">
      <c r="A183" t="s">
        <v>383</v>
      </c>
      <c r="B183" t="s">
        <v>384</v>
      </c>
      <c r="C183" t="s">
        <v>24</v>
      </c>
      <c r="D183" s="1">
        <v>45506</v>
      </c>
      <c r="E183" t="s">
        <v>16</v>
      </c>
      <c r="F183" s="2">
        <v>30</v>
      </c>
      <c r="G183" t="s">
        <v>17</v>
      </c>
      <c r="H183" t="s">
        <v>18</v>
      </c>
      <c r="I183" s="2">
        <v>10</v>
      </c>
      <c r="J183" t="s">
        <v>16</v>
      </c>
      <c r="K183" s="2">
        <v>0</v>
      </c>
      <c r="L183" s="2">
        <v>0</v>
      </c>
      <c r="M183" s="2">
        <v>40</v>
      </c>
    </row>
    <row r="184" spans="1:13">
      <c r="A184" t="s">
        <v>385</v>
      </c>
      <c r="B184" t="s">
        <v>386</v>
      </c>
      <c r="C184" t="s">
        <v>28</v>
      </c>
      <c r="D184" s="1">
        <v>45513</v>
      </c>
      <c r="E184" t="s">
        <v>18</v>
      </c>
      <c r="F184" s="2">
        <v>25</v>
      </c>
      <c r="G184" t="s">
        <v>17</v>
      </c>
      <c r="H184" t="s">
        <v>18</v>
      </c>
      <c r="I184" s="2">
        <v>10</v>
      </c>
      <c r="J184" t="s">
        <v>18</v>
      </c>
      <c r="K184" s="2">
        <v>20</v>
      </c>
      <c r="L184" s="2">
        <v>45</v>
      </c>
      <c r="M184" s="2">
        <v>10</v>
      </c>
    </row>
    <row r="185" spans="1:13">
      <c r="A185" t="s">
        <v>387</v>
      </c>
      <c r="B185" t="s">
        <v>388</v>
      </c>
      <c r="C185" t="s">
        <v>15</v>
      </c>
      <c r="D185" s="1">
        <v>45520</v>
      </c>
      <c r="E185" t="s">
        <v>16</v>
      </c>
      <c r="F185" s="2">
        <v>30</v>
      </c>
      <c r="G185" t="s">
        <v>21</v>
      </c>
      <c r="H185" t="s">
        <v>18</v>
      </c>
      <c r="I185" s="2">
        <v>10</v>
      </c>
      <c r="J185" t="s">
        <v>18</v>
      </c>
      <c r="K185" s="2">
        <v>20</v>
      </c>
      <c r="L185" s="2">
        <v>50</v>
      </c>
      <c r="M185" s="2">
        <v>10</v>
      </c>
    </row>
    <row r="186" spans="1:13">
      <c r="A186" t="s">
        <v>389</v>
      </c>
      <c r="B186" t="s">
        <v>390</v>
      </c>
      <c r="C186" t="s">
        <v>24</v>
      </c>
      <c r="D186" s="1">
        <v>45527</v>
      </c>
      <c r="E186" t="s">
        <v>16</v>
      </c>
      <c r="F186" s="2">
        <v>35</v>
      </c>
      <c r="G186" t="s">
        <v>17</v>
      </c>
      <c r="H186" t="s">
        <v>18</v>
      </c>
      <c r="I186" s="2">
        <v>10</v>
      </c>
      <c r="J186" t="s">
        <v>18</v>
      </c>
      <c r="K186" s="2">
        <v>20</v>
      </c>
      <c r="L186" s="2">
        <v>55</v>
      </c>
      <c r="M186" s="2">
        <v>10</v>
      </c>
    </row>
    <row r="187" spans="1:13">
      <c r="A187" t="s">
        <v>391</v>
      </c>
      <c r="B187" t="s">
        <v>392</v>
      </c>
      <c r="C187" t="s">
        <v>28</v>
      </c>
      <c r="D187" s="1">
        <v>45534</v>
      </c>
      <c r="E187" t="s">
        <v>16</v>
      </c>
      <c r="F187" s="2">
        <v>30</v>
      </c>
      <c r="G187" t="s">
        <v>21</v>
      </c>
      <c r="H187" t="s">
        <v>18</v>
      </c>
      <c r="I187" s="2">
        <v>10</v>
      </c>
      <c r="J187" t="s">
        <v>16</v>
      </c>
      <c r="K187" s="2">
        <v>0</v>
      </c>
      <c r="L187" s="2">
        <v>0</v>
      </c>
      <c r="M187" s="2">
        <v>40</v>
      </c>
    </row>
    <row r="188" spans="1:13">
      <c r="A188" t="s">
        <v>393</v>
      </c>
      <c r="B188" t="s">
        <v>394</v>
      </c>
      <c r="C188" t="s">
        <v>24</v>
      </c>
      <c r="D188" s="1">
        <v>45541</v>
      </c>
      <c r="E188" t="s">
        <v>16</v>
      </c>
      <c r="F188" s="2">
        <v>20</v>
      </c>
      <c r="G188" t="s">
        <v>25</v>
      </c>
      <c r="H188" t="s">
        <v>18</v>
      </c>
      <c r="I188" s="2">
        <v>10</v>
      </c>
      <c r="J188" t="s">
        <v>18</v>
      </c>
      <c r="K188" s="2">
        <v>20</v>
      </c>
      <c r="L188" s="2">
        <v>40</v>
      </c>
      <c r="M188" s="2">
        <v>10</v>
      </c>
    </row>
    <row r="189" spans="1:13">
      <c r="A189" t="s">
        <v>395</v>
      </c>
      <c r="B189" t="s">
        <v>396</v>
      </c>
      <c r="C189" t="s">
        <v>15</v>
      </c>
      <c r="D189" s="1">
        <v>45548</v>
      </c>
      <c r="E189" t="s">
        <v>18</v>
      </c>
      <c r="F189" s="2">
        <v>25</v>
      </c>
      <c r="G189" t="s">
        <v>21</v>
      </c>
      <c r="H189" t="s">
        <v>18</v>
      </c>
      <c r="I189" s="2">
        <v>10</v>
      </c>
      <c r="J189" t="s">
        <v>16</v>
      </c>
      <c r="K189" s="2">
        <v>0</v>
      </c>
      <c r="L189" s="2">
        <v>25</v>
      </c>
      <c r="M189" s="2">
        <v>10</v>
      </c>
    </row>
    <row r="190" spans="1:13">
      <c r="A190" t="s">
        <v>397</v>
      </c>
      <c r="B190" t="s">
        <v>398</v>
      </c>
      <c r="C190" t="s">
        <v>24</v>
      </c>
      <c r="D190" s="1">
        <v>45555</v>
      </c>
      <c r="E190" t="s">
        <v>18</v>
      </c>
      <c r="F190" s="2">
        <v>30</v>
      </c>
      <c r="G190" t="s">
        <v>25</v>
      </c>
      <c r="H190" t="s">
        <v>18</v>
      </c>
      <c r="I190" s="2">
        <v>10</v>
      </c>
      <c r="J190" t="s">
        <v>18</v>
      </c>
      <c r="K190" s="2">
        <v>20</v>
      </c>
      <c r="L190" s="2">
        <v>50</v>
      </c>
      <c r="M190" s="2">
        <v>10</v>
      </c>
    </row>
    <row r="191" spans="1:13">
      <c r="A191" t="s">
        <v>399</v>
      </c>
      <c r="B191" t="s">
        <v>400</v>
      </c>
      <c r="C191" t="s">
        <v>24</v>
      </c>
      <c r="D191" s="1">
        <v>45562</v>
      </c>
      <c r="E191" t="s">
        <v>16</v>
      </c>
      <c r="F191" s="2">
        <v>35</v>
      </c>
      <c r="G191" t="s">
        <v>21</v>
      </c>
      <c r="H191" t="s">
        <v>18</v>
      </c>
      <c r="I191" s="2">
        <v>10</v>
      </c>
      <c r="J191" t="s">
        <v>16</v>
      </c>
      <c r="K191" s="2">
        <v>0</v>
      </c>
      <c r="L191" s="2">
        <v>5</v>
      </c>
      <c r="M191" s="2">
        <v>40</v>
      </c>
    </row>
    <row r="192" spans="1:13">
      <c r="A192" t="s">
        <v>401</v>
      </c>
      <c r="B192" t="s">
        <v>402</v>
      </c>
      <c r="C192" t="s">
        <v>15</v>
      </c>
      <c r="D192" s="1">
        <v>45569</v>
      </c>
      <c r="E192" t="s">
        <v>16</v>
      </c>
      <c r="F192" s="2">
        <v>15</v>
      </c>
      <c r="G192" t="s">
        <v>25</v>
      </c>
      <c r="H192" t="s">
        <v>18</v>
      </c>
      <c r="I192" s="2">
        <v>10</v>
      </c>
      <c r="J192" t="s">
        <v>18</v>
      </c>
      <c r="K192" s="2">
        <v>20</v>
      </c>
      <c r="L192" s="2">
        <v>5</v>
      </c>
      <c r="M192" s="2">
        <v>40</v>
      </c>
    </row>
    <row r="193" spans="1:13">
      <c r="A193" t="s">
        <v>403</v>
      </c>
      <c r="B193" t="s">
        <v>404</v>
      </c>
      <c r="C193" t="s">
        <v>24</v>
      </c>
      <c r="D193" s="1">
        <v>45576</v>
      </c>
      <c r="E193" t="s">
        <v>18</v>
      </c>
      <c r="F193" s="2">
        <v>20</v>
      </c>
      <c r="G193" t="s">
        <v>25</v>
      </c>
      <c r="H193" t="s">
        <v>18</v>
      </c>
      <c r="I193" s="2">
        <v>10</v>
      </c>
      <c r="J193" t="s">
        <v>18</v>
      </c>
      <c r="K193" s="2">
        <v>20</v>
      </c>
      <c r="L193" s="2">
        <v>40</v>
      </c>
      <c r="M193" s="2">
        <v>10</v>
      </c>
    </row>
    <row r="194" spans="1:13">
      <c r="A194" t="s">
        <v>405</v>
      </c>
      <c r="B194" t="s">
        <v>406</v>
      </c>
      <c r="C194" t="s">
        <v>28</v>
      </c>
      <c r="D194" s="1">
        <v>45583</v>
      </c>
      <c r="E194" t="s">
        <v>18</v>
      </c>
      <c r="F194" s="2">
        <v>25</v>
      </c>
      <c r="G194" t="s">
        <v>25</v>
      </c>
      <c r="H194" t="s">
        <v>18</v>
      </c>
      <c r="I194" s="2">
        <v>10</v>
      </c>
      <c r="J194" t="s">
        <v>18</v>
      </c>
      <c r="K194" s="2">
        <v>20</v>
      </c>
      <c r="L194" s="2">
        <v>45</v>
      </c>
      <c r="M194" s="2">
        <v>10</v>
      </c>
    </row>
    <row r="195" spans="1:13">
      <c r="A195" t="s">
        <v>407</v>
      </c>
      <c r="B195" t="s">
        <v>408</v>
      </c>
      <c r="C195" t="s">
        <v>28</v>
      </c>
      <c r="D195" s="1">
        <v>45590</v>
      </c>
      <c r="E195" t="s">
        <v>18</v>
      </c>
      <c r="F195" s="2">
        <v>30</v>
      </c>
      <c r="G195" t="s">
        <v>17</v>
      </c>
      <c r="H195" t="s">
        <v>18</v>
      </c>
      <c r="I195" s="2">
        <v>10</v>
      </c>
      <c r="J195" t="s">
        <v>16</v>
      </c>
      <c r="K195" s="2">
        <v>0</v>
      </c>
      <c r="L195" s="2">
        <v>30</v>
      </c>
      <c r="M195" s="2">
        <v>10</v>
      </c>
    </row>
    <row r="196" spans="1:13">
      <c r="A196" t="s">
        <v>409</v>
      </c>
      <c r="B196" t="s">
        <v>410</v>
      </c>
      <c r="C196" t="s">
        <v>24</v>
      </c>
      <c r="D196" s="1">
        <v>45597</v>
      </c>
      <c r="E196" t="s">
        <v>16</v>
      </c>
      <c r="F196" s="2">
        <v>35</v>
      </c>
      <c r="G196" t="s">
        <v>17</v>
      </c>
      <c r="H196" t="s">
        <v>18</v>
      </c>
      <c r="I196" s="2">
        <v>10</v>
      </c>
      <c r="J196" t="s">
        <v>18</v>
      </c>
      <c r="K196" s="2">
        <v>20</v>
      </c>
      <c r="L196" s="2">
        <v>55</v>
      </c>
      <c r="M196" s="2">
        <v>10</v>
      </c>
    </row>
    <row r="197" spans="1:13">
      <c r="A197" t="s">
        <v>411</v>
      </c>
      <c r="B197" t="s">
        <v>412</v>
      </c>
      <c r="C197" t="s">
        <v>24</v>
      </c>
      <c r="D197" s="1">
        <v>45604</v>
      </c>
      <c r="E197" t="s">
        <v>18</v>
      </c>
      <c r="F197" s="2">
        <v>15</v>
      </c>
      <c r="G197" t="s">
        <v>17</v>
      </c>
      <c r="H197" t="s">
        <v>18</v>
      </c>
      <c r="I197" s="2">
        <v>10</v>
      </c>
      <c r="J197" t="s">
        <v>16</v>
      </c>
      <c r="K197" s="2">
        <v>0</v>
      </c>
      <c r="L197" s="2">
        <v>15</v>
      </c>
      <c r="M197" s="2">
        <v>10</v>
      </c>
    </row>
    <row r="198" spans="1:13">
      <c r="A198" t="s">
        <v>413</v>
      </c>
      <c r="B198" t="s">
        <v>414</v>
      </c>
      <c r="C198" t="s">
        <v>28</v>
      </c>
      <c r="D198" s="1">
        <v>45611</v>
      </c>
      <c r="E198" t="s">
        <v>16</v>
      </c>
      <c r="F198" s="2">
        <v>20</v>
      </c>
      <c r="G198" t="s">
        <v>17</v>
      </c>
      <c r="H198" t="s">
        <v>18</v>
      </c>
      <c r="I198" s="2">
        <v>10</v>
      </c>
      <c r="J198" t="s">
        <v>16</v>
      </c>
      <c r="K198" s="2">
        <v>0</v>
      </c>
      <c r="L198" s="2">
        <v>20</v>
      </c>
      <c r="M198" s="2">
        <v>10</v>
      </c>
    </row>
    <row r="199" spans="1:13">
      <c r="A199" t="s">
        <v>415</v>
      </c>
      <c r="B199" t="s">
        <v>416</v>
      </c>
      <c r="C199" t="s">
        <v>28</v>
      </c>
      <c r="D199" s="1">
        <v>45618</v>
      </c>
      <c r="E199" t="s">
        <v>18</v>
      </c>
      <c r="F199" s="2">
        <v>25</v>
      </c>
      <c r="G199" t="s">
        <v>21</v>
      </c>
      <c r="H199" t="s">
        <v>18</v>
      </c>
      <c r="I199" s="2">
        <v>10</v>
      </c>
      <c r="J199" t="s">
        <v>18</v>
      </c>
      <c r="K199" s="2">
        <v>20</v>
      </c>
      <c r="L199" s="2">
        <v>45</v>
      </c>
      <c r="M199" s="2">
        <v>10</v>
      </c>
    </row>
    <row r="200" spans="1:13">
      <c r="A200" t="s">
        <v>417</v>
      </c>
      <c r="B200" t="s">
        <v>418</v>
      </c>
      <c r="C200" t="s">
        <v>15</v>
      </c>
      <c r="D200" s="1">
        <v>45625</v>
      </c>
      <c r="E200" t="s">
        <v>16</v>
      </c>
      <c r="F200" s="2">
        <v>30</v>
      </c>
      <c r="G200" t="s">
        <v>25</v>
      </c>
      <c r="H200" t="s">
        <v>18</v>
      </c>
      <c r="I200" s="2">
        <v>10</v>
      </c>
      <c r="J200" t="s">
        <v>18</v>
      </c>
      <c r="K200" s="2">
        <v>20</v>
      </c>
      <c r="L200" s="2">
        <v>20</v>
      </c>
      <c r="M200" s="2">
        <v>40</v>
      </c>
    </row>
    <row r="201" spans="1:13">
      <c r="A201" t="s">
        <v>419</v>
      </c>
      <c r="B201" t="s">
        <v>420</v>
      </c>
      <c r="C201" t="s">
        <v>24</v>
      </c>
      <c r="D201" s="1">
        <v>45632</v>
      </c>
      <c r="E201" t="s">
        <v>18</v>
      </c>
      <c r="F201" s="2">
        <v>35</v>
      </c>
      <c r="G201" t="s">
        <v>17</v>
      </c>
      <c r="H201" t="s">
        <v>18</v>
      </c>
      <c r="I201" s="2">
        <v>10</v>
      </c>
      <c r="J201" t="s">
        <v>18</v>
      </c>
      <c r="K201" s="2">
        <v>20</v>
      </c>
      <c r="L201" s="2">
        <v>25</v>
      </c>
      <c r="M201" s="2">
        <v>40</v>
      </c>
    </row>
    <row r="202" spans="1:13">
      <c r="A202" t="s">
        <v>421</v>
      </c>
      <c r="B202" t="s">
        <v>422</v>
      </c>
      <c r="C202" t="s">
        <v>24</v>
      </c>
      <c r="D202" s="1">
        <v>45639</v>
      </c>
      <c r="E202" t="s">
        <v>16</v>
      </c>
      <c r="F202" s="2">
        <v>15</v>
      </c>
      <c r="G202" t="s">
        <v>17</v>
      </c>
      <c r="H202" t="s">
        <v>18</v>
      </c>
      <c r="I202" s="2">
        <v>10</v>
      </c>
      <c r="J202" t="s">
        <v>18</v>
      </c>
      <c r="K202" s="2">
        <v>20</v>
      </c>
      <c r="L202" s="2">
        <v>5</v>
      </c>
      <c r="M202" s="2">
        <v>40</v>
      </c>
    </row>
    <row r="203" spans="1:13">
      <c r="A203" t="s">
        <v>423</v>
      </c>
      <c r="B203" t="s">
        <v>424</v>
      </c>
      <c r="C203" t="s">
        <v>28</v>
      </c>
      <c r="D203" s="1">
        <v>45295</v>
      </c>
      <c r="E203" t="s">
        <v>16</v>
      </c>
      <c r="F203" s="2">
        <v>20</v>
      </c>
      <c r="G203" t="s">
        <v>25</v>
      </c>
      <c r="H203" t="s">
        <v>18</v>
      </c>
      <c r="I203" s="2">
        <v>10</v>
      </c>
      <c r="J203" t="s">
        <v>18</v>
      </c>
      <c r="K203" s="2">
        <v>20</v>
      </c>
      <c r="L203" s="2">
        <v>10</v>
      </c>
      <c r="M203" s="2">
        <v>40</v>
      </c>
    </row>
    <row r="204" spans="1:13">
      <c r="A204" t="s">
        <v>425</v>
      </c>
      <c r="B204" t="s">
        <v>426</v>
      </c>
      <c r="C204" t="s">
        <v>28</v>
      </c>
      <c r="D204" s="1">
        <v>45302</v>
      </c>
      <c r="E204" t="s">
        <v>16</v>
      </c>
      <c r="F204" s="2">
        <v>25</v>
      </c>
      <c r="G204" t="s">
        <v>17</v>
      </c>
      <c r="H204" t="s">
        <v>18</v>
      </c>
      <c r="I204" s="2">
        <v>10</v>
      </c>
      <c r="J204" t="s">
        <v>18</v>
      </c>
      <c r="K204" s="2">
        <v>20</v>
      </c>
      <c r="L204" s="2">
        <v>45</v>
      </c>
      <c r="M204" s="2">
        <v>10</v>
      </c>
    </row>
    <row r="205" spans="1:13">
      <c r="A205" t="s">
        <v>427</v>
      </c>
      <c r="B205" t="s">
        <v>428</v>
      </c>
      <c r="C205" t="s">
        <v>15</v>
      </c>
      <c r="D205" s="1">
        <v>45309</v>
      </c>
      <c r="E205" t="s">
        <v>18</v>
      </c>
      <c r="F205" s="2">
        <v>30</v>
      </c>
      <c r="G205" t="s">
        <v>17</v>
      </c>
      <c r="H205" t="s">
        <v>18</v>
      </c>
      <c r="I205" s="2">
        <v>10</v>
      </c>
      <c r="J205" t="s">
        <v>16</v>
      </c>
      <c r="K205" s="2">
        <v>0</v>
      </c>
      <c r="L205" s="2">
        <v>30</v>
      </c>
      <c r="M205" s="2">
        <v>10</v>
      </c>
    </row>
    <row r="206" spans="1:13">
      <c r="A206" t="s">
        <v>429</v>
      </c>
      <c r="B206" t="s">
        <v>430</v>
      </c>
      <c r="C206" t="s">
        <v>24</v>
      </c>
      <c r="D206" s="1">
        <v>45316</v>
      </c>
      <c r="E206" t="s">
        <v>16</v>
      </c>
      <c r="F206" s="2">
        <v>35</v>
      </c>
      <c r="G206" t="s">
        <v>25</v>
      </c>
      <c r="H206" t="s">
        <v>18</v>
      </c>
      <c r="I206" s="2">
        <v>10</v>
      </c>
      <c r="J206" t="s">
        <v>18</v>
      </c>
      <c r="K206" s="2">
        <v>20</v>
      </c>
      <c r="L206" s="2">
        <v>25</v>
      </c>
      <c r="M206" s="2">
        <v>40</v>
      </c>
    </row>
    <row r="207" spans="1:13">
      <c r="A207" t="s">
        <v>431</v>
      </c>
      <c r="B207" t="s">
        <v>432</v>
      </c>
      <c r="C207" t="s">
        <v>28</v>
      </c>
      <c r="D207" s="1">
        <v>45323</v>
      </c>
      <c r="E207" t="s">
        <v>18</v>
      </c>
      <c r="F207" s="2">
        <v>15</v>
      </c>
      <c r="G207" t="s">
        <v>17</v>
      </c>
      <c r="H207" t="s">
        <v>18</v>
      </c>
      <c r="I207" s="2">
        <v>10</v>
      </c>
      <c r="J207" t="s">
        <v>18</v>
      </c>
      <c r="K207" s="2">
        <v>20</v>
      </c>
      <c r="L207" s="2">
        <v>5</v>
      </c>
      <c r="M207" s="2">
        <v>40</v>
      </c>
    </row>
    <row r="208" spans="1:13">
      <c r="A208" t="s">
        <v>433</v>
      </c>
      <c r="B208" t="s">
        <v>434</v>
      </c>
      <c r="C208" t="s">
        <v>28</v>
      </c>
      <c r="D208" s="1">
        <v>45330</v>
      </c>
      <c r="E208" t="s">
        <v>16</v>
      </c>
      <c r="F208" s="2">
        <v>20</v>
      </c>
      <c r="G208" t="s">
        <v>25</v>
      </c>
      <c r="H208" t="s">
        <v>18</v>
      </c>
      <c r="I208" s="2">
        <v>10</v>
      </c>
      <c r="J208" t="s">
        <v>18</v>
      </c>
      <c r="K208" s="2">
        <v>20</v>
      </c>
      <c r="L208" s="2">
        <v>10</v>
      </c>
      <c r="M208" s="2">
        <v>40</v>
      </c>
    </row>
    <row r="209" spans="1:13">
      <c r="A209" t="s">
        <v>435</v>
      </c>
      <c r="B209" t="s">
        <v>436</v>
      </c>
      <c r="C209" t="s">
        <v>28</v>
      </c>
      <c r="D209" s="1">
        <v>45337</v>
      </c>
      <c r="E209" t="s">
        <v>18</v>
      </c>
      <c r="F209" s="2">
        <v>30</v>
      </c>
      <c r="G209" t="s">
        <v>25</v>
      </c>
      <c r="H209" t="s">
        <v>18</v>
      </c>
      <c r="I209" s="2">
        <v>10</v>
      </c>
      <c r="J209" t="s">
        <v>16</v>
      </c>
      <c r="K209" s="2">
        <v>0</v>
      </c>
      <c r="L209" s="2">
        <v>0</v>
      </c>
      <c r="M209" s="2">
        <v>40</v>
      </c>
    </row>
    <row r="210" spans="1:13">
      <c r="A210" t="s">
        <v>437</v>
      </c>
      <c r="B210" t="s">
        <v>438</v>
      </c>
      <c r="C210" t="s">
        <v>24</v>
      </c>
      <c r="D210" s="1">
        <v>45344</v>
      </c>
      <c r="E210" t="s">
        <v>16</v>
      </c>
      <c r="F210" s="2">
        <v>30</v>
      </c>
      <c r="G210" t="s">
        <v>21</v>
      </c>
      <c r="H210" t="s">
        <v>18</v>
      </c>
      <c r="I210" s="2">
        <v>10</v>
      </c>
      <c r="J210" t="s">
        <v>18</v>
      </c>
      <c r="K210" s="2">
        <v>20</v>
      </c>
      <c r="L210" s="2">
        <v>50</v>
      </c>
      <c r="M210" s="2">
        <v>10</v>
      </c>
    </row>
    <row r="211" spans="1:13">
      <c r="A211" t="s">
        <v>439</v>
      </c>
      <c r="B211" t="s">
        <v>440</v>
      </c>
      <c r="C211" t="s">
        <v>15</v>
      </c>
      <c r="D211" s="1">
        <v>45351</v>
      </c>
      <c r="E211" t="s">
        <v>18</v>
      </c>
      <c r="F211" s="2">
        <v>35</v>
      </c>
      <c r="G211" t="s">
        <v>25</v>
      </c>
      <c r="H211" t="s">
        <v>18</v>
      </c>
      <c r="I211" s="2">
        <v>10</v>
      </c>
      <c r="J211" t="s">
        <v>18</v>
      </c>
      <c r="K211" s="2">
        <v>20</v>
      </c>
      <c r="L211" s="2">
        <v>25</v>
      </c>
      <c r="M211" s="2">
        <v>40</v>
      </c>
    </row>
    <row r="212" spans="1:13">
      <c r="A212" t="s">
        <v>441</v>
      </c>
      <c r="B212" t="s">
        <v>442</v>
      </c>
      <c r="C212" t="s">
        <v>24</v>
      </c>
      <c r="D212" s="1">
        <v>45358</v>
      </c>
      <c r="E212" t="s">
        <v>18</v>
      </c>
      <c r="F212" s="2">
        <v>15</v>
      </c>
      <c r="G212" t="s">
        <v>21</v>
      </c>
      <c r="H212" t="s">
        <v>18</v>
      </c>
      <c r="I212" s="2">
        <v>10</v>
      </c>
      <c r="J212" t="s">
        <v>18</v>
      </c>
      <c r="K212" s="2">
        <v>20</v>
      </c>
      <c r="L212" s="2">
        <v>5</v>
      </c>
      <c r="M212" s="2">
        <v>40</v>
      </c>
    </row>
    <row r="213" spans="1:13">
      <c r="A213" t="s">
        <v>443</v>
      </c>
      <c r="B213" t="s">
        <v>444</v>
      </c>
      <c r="C213" t="s">
        <v>24</v>
      </c>
      <c r="D213" s="1">
        <v>45365</v>
      </c>
      <c r="E213" t="s">
        <v>16</v>
      </c>
      <c r="F213" s="2">
        <v>20</v>
      </c>
      <c r="G213" t="s">
        <v>17</v>
      </c>
      <c r="H213" t="s">
        <v>18</v>
      </c>
      <c r="I213" s="2">
        <v>10</v>
      </c>
      <c r="J213" t="s">
        <v>18</v>
      </c>
      <c r="K213" s="2">
        <v>20</v>
      </c>
      <c r="L213" s="2">
        <v>10</v>
      </c>
      <c r="M213" s="2">
        <v>40</v>
      </c>
    </row>
    <row r="214" spans="1:13">
      <c r="A214" t="s">
        <v>445</v>
      </c>
      <c r="B214" t="s">
        <v>446</v>
      </c>
      <c r="C214" t="s">
        <v>28</v>
      </c>
      <c r="D214" s="1">
        <v>45372</v>
      </c>
      <c r="E214" t="s">
        <v>16</v>
      </c>
      <c r="F214" s="2">
        <v>30</v>
      </c>
      <c r="G214" t="s">
        <v>21</v>
      </c>
      <c r="H214" t="s">
        <v>18</v>
      </c>
      <c r="I214" s="2">
        <v>10</v>
      </c>
      <c r="J214" t="s">
        <v>16</v>
      </c>
      <c r="K214" s="2">
        <v>0</v>
      </c>
      <c r="L214" s="2">
        <v>0</v>
      </c>
      <c r="M214" s="2">
        <v>40</v>
      </c>
    </row>
    <row r="215" spans="1:13">
      <c r="A215" t="s">
        <v>447</v>
      </c>
      <c r="B215" t="s">
        <v>448</v>
      </c>
      <c r="C215" t="s">
        <v>15</v>
      </c>
      <c r="D215" s="1">
        <v>45379</v>
      </c>
      <c r="E215" t="s">
        <v>18</v>
      </c>
      <c r="F215" s="2">
        <v>30</v>
      </c>
      <c r="G215" t="s">
        <v>21</v>
      </c>
      <c r="H215" t="s">
        <v>18</v>
      </c>
      <c r="I215" s="2">
        <v>10</v>
      </c>
      <c r="J215" t="s">
        <v>16</v>
      </c>
      <c r="K215" s="2">
        <v>0</v>
      </c>
      <c r="L215" s="2">
        <v>30</v>
      </c>
      <c r="M215" s="2">
        <v>10</v>
      </c>
    </row>
    <row r="216" spans="1:13">
      <c r="A216" t="s">
        <v>449</v>
      </c>
      <c r="B216" t="s">
        <v>450</v>
      </c>
      <c r="C216" t="s">
        <v>15</v>
      </c>
      <c r="D216" s="1">
        <v>45386</v>
      </c>
      <c r="E216" t="s">
        <v>16</v>
      </c>
      <c r="F216" s="2">
        <v>35</v>
      </c>
      <c r="G216" t="s">
        <v>25</v>
      </c>
      <c r="H216" t="s">
        <v>18</v>
      </c>
      <c r="I216" s="2">
        <v>10</v>
      </c>
      <c r="J216" t="s">
        <v>18</v>
      </c>
      <c r="K216" s="2">
        <v>20</v>
      </c>
      <c r="L216" s="2">
        <v>25</v>
      </c>
      <c r="M216" s="2">
        <v>40</v>
      </c>
    </row>
    <row r="217" spans="1:13">
      <c r="A217" t="s">
        <v>451</v>
      </c>
      <c r="B217" t="s">
        <v>452</v>
      </c>
      <c r="C217" t="s">
        <v>28</v>
      </c>
      <c r="D217" s="1">
        <v>45393</v>
      </c>
      <c r="E217" t="s">
        <v>16</v>
      </c>
      <c r="F217" s="2">
        <v>15</v>
      </c>
      <c r="G217" t="s">
        <v>21</v>
      </c>
      <c r="H217" t="s">
        <v>18</v>
      </c>
      <c r="I217" s="2">
        <v>10</v>
      </c>
      <c r="J217" t="s">
        <v>18</v>
      </c>
      <c r="K217" s="2">
        <v>20</v>
      </c>
      <c r="L217" s="2">
        <v>35</v>
      </c>
      <c r="M217" s="2">
        <v>10</v>
      </c>
    </row>
    <row r="218" spans="1:13">
      <c r="A218" t="s">
        <v>453</v>
      </c>
      <c r="B218" t="s">
        <v>454</v>
      </c>
      <c r="C218" t="s">
        <v>28</v>
      </c>
      <c r="D218" s="1">
        <v>45400</v>
      </c>
      <c r="E218" t="s">
        <v>16</v>
      </c>
      <c r="F218" s="2">
        <v>20</v>
      </c>
      <c r="G218" t="s">
        <v>25</v>
      </c>
      <c r="H218" t="s">
        <v>18</v>
      </c>
      <c r="I218" s="2">
        <v>10</v>
      </c>
      <c r="J218" t="s">
        <v>18</v>
      </c>
      <c r="K218" s="2">
        <v>20</v>
      </c>
      <c r="L218" s="2">
        <v>10</v>
      </c>
      <c r="M218" s="2">
        <v>40</v>
      </c>
    </row>
    <row r="219" spans="1:13">
      <c r="A219" t="s">
        <v>455</v>
      </c>
      <c r="B219" t="s">
        <v>456</v>
      </c>
      <c r="C219" t="s">
        <v>15</v>
      </c>
      <c r="D219" s="1">
        <v>45407</v>
      </c>
      <c r="E219" t="s">
        <v>18</v>
      </c>
      <c r="F219" s="2">
        <v>25</v>
      </c>
      <c r="G219" t="s">
        <v>17</v>
      </c>
      <c r="H219" t="s">
        <v>18</v>
      </c>
      <c r="I219" s="2">
        <v>10</v>
      </c>
      <c r="J219" t="s">
        <v>18</v>
      </c>
      <c r="K219" s="2">
        <v>20</v>
      </c>
      <c r="L219" s="2">
        <v>15</v>
      </c>
      <c r="M219" s="2">
        <v>40</v>
      </c>
    </row>
    <row r="220" spans="1:13">
      <c r="A220" t="s">
        <v>457</v>
      </c>
      <c r="B220" t="s">
        <v>458</v>
      </c>
      <c r="C220" t="s">
        <v>15</v>
      </c>
      <c r="D220" s="1">
        <v>45414</v>
      </c>
      <c r="E220" t="s">
        <v>16</v>
      </c>
      <c r="F220" s="2">
        <v>30</v>
      </c>
      <c r="G220" t="s">
        <v>25</v>
      </c>
      <c r="H220" t="s">
        <v>18</v>
      </c>
      <c r="I220" s="2">
        <v>10</v>
      </c>
      <c r="J220" t="s">
        <v>18</v>
      </c>
      <c r="K220" s="2">
        <v>20</v>
      </c>
      <c r="L220" s="2">
        <v>20</v>
      </c>
      <c r="M220" s="2">
        <v>40</v>
      </c>
    </row>
    <row r="221" spans="1:13">
      <c r="A221" t="s">
        <v>459</v>
      </c>
      <c r="B221" t="s">
        <v>460</v>
      </c>
      <c r="C221" t="s">
        <v>28</v>
      </c>
      <c r="D221" s="1">
        <v>45421</v>
      </c>
      <c r="E221" t="s">
        <v>18</v>
      </c>
      <c r="F221" s="2">
        <v>35</v>
      </c>
      <c r="G221" t="s">
        <v>25</v>
      </c>
      <c r="H221" t="s">
        <v>18</v>
      </c>
      <c r="I221" s="2">
        <v>10</v>
      </c>
      <c r="J221" t="s">
        <v>18</v>
      </c>
      <c r="K221" s="2">
        <v>20</v>
      </c>
      <c r="L221" s="2">
        <v>25</v>
      </c>
      <c r="M221" s="2">
        <v>40</v>
      </c>
    </row>
    <row r="222" spans="1:13">
      <c r="A222" t="s">
        <v>461</v>
      </c>
      <c r="B222" t="s">
        <v>462</v>
      </c>
      <c r="C222" t="s">
        <v>15</v>
      </c>
      <c r="D222" s="1">
        <v>45428</v>
      </c>
      <c r="E222" t="s">
        <v>18</v>
      </c>
      <c r="F222" s="2">
        <v>15</v>
      </c>
      <c r="G222" t="s">
        <v>25</v>
      </c>
      <c r="H222" t="s">
        <v>18</v>
      </c>
      <c r="I222" s="2">
        <v>10</v>
      </c>
      <c r="J222" t="s">
        <v>18</v>
      </c>
      <c r="K222" s="2">
        <v>20</v>
      </c>
      <c r="L222" s="2">
        <v>35</v>
      </c>
      <c r="M222" s="2">
        <v>10</v>
      </c>
    </row>
    <row r="223" spans="1:13">
      <c r="A223" t="s">
        <v>463</v>
      </c>
      <c r="B223" t="s">
        <v>464</v>
      </c>
      <c r="C223" t="s">
        <v>28</v>
      </c>
      <c r="D223" s="1">
        <v>45435</v>
      </c>
      <c r="E223" t="s">
        <v>18</v>
      </c>
      <c r="F223" s="2">
        <v>20</v>
      </c>
      <c r="G223" t="s">
        <v>17</v>
      </c>
      <c r="H223" t="s">
        <v>18</v>
      </c>
      <c r="I223" s="2">
        <v>10</v>
      </c>
      <c r="J223" t="s">
        <v>18</v>
      </c>
      <c r="K223" s="2">
        <v>20</v>
      </c>
      <c r="L223" s="2">
        <v>10</v>
      </c>
      <c r="M223" s="2">
        <v>40</v>
      </c>
    </row>
    <row r="224" spans="1:13">
      <c r="A224" t="s">
        <v>465</v>
      </c>
      <c r="B224" t="s">
        <v>466</v>
      </c>
      <c r="C224" t="s">
        <v>24</v>
      </c>
      <c r="D224" s="1">
        <v>45442</v>
      </c>
      <c r="E224" t="s">
        <v>18</v>
      </c>
      <c r="F224" s="2">
        <v>25</v>
      </c>
      <c r="G224" t="s">
        <v>17</v>
      </c>
      <c r="H224" t="s">
        <v>18</v>
      </c>
      <c r="I224" s="2">
        <v>10</v>
      </c>
      <c r="J224" t="s">
        <v>18</v>
      </c>
      <c r="K224" s="2">
        <v>20</v>
      </c>
      <c r="L224" s="2">
        <v>15</v>
      </c>
      <c r="M224" s="2">
        <v>40</v>
      </c>
    </row>
    <row r="225" spans="1:13">
      <c r="A225" t="s">
        <v>467</v>
      </c>
      <c r="B225" t="s">
        <v>468</v>
      </c>
      <c r="C225" t="s">
        <v>28</v>
      </c>
      <c r="D225" s="1">
        <v>45449</v>
      </c>
      <c r="E225" t="s">
        <v>18</v>
      </c>
      <c r="F225" s="2">
        <v>30</v>
      </c>
      <c r="G225" t="s">
        <v>21</v>
      </c>
      <c r="H225" t="s">
        <v>18</v>
      </c>
      <c r="I225" s="2">
        <v>10</v>
      </c>
      <c r="J225" t="s">
        <v>16</v>
      </c>
      <c r="K225" s="2">
        <v>0</v>
      </c>
      <c r="L225" s="2">
        <v>0</v>
      </c>
      <c r="M225" s="2">
        <v>40</v>
      </c>
    </row>
    <row r="226" spans="1:13">
      <c r="A226" t="s">
        <v>469</v>
      </c>
      <c r="B226" t="s">
        <v>470</v>
      </c>
      <c r="C226" t="s">
        <v>24</v>
      </c>
      <c r="D226" s="1">
        <v>45456</v>
      </c>
      <c r="E226" t="s">
        <v>16</v>
      </c>
      <c r="F226" s="2">
        <v>35</v>
      </c>
      <c r="G226" t="s">
        <v>17</v>
      </c>
      <c r="H226" t="s">
        <v>18</v>
      </c>
      <c r="I226" s="2">
        <v>10</v>
      </c>
      <c r="J226" t="s">
        <v>16</v>
      </c>
      <c r="K226" s="2">
        <v>0</v>
      </c>
      <c r="L226" s="2">
        <v>35</v>
      </c>
      <c r="M226" s="2">
        <v>10</v>
      </c>
    </row>
    <row r="227" spans="1:13">
      <c r="A227" t="s">
        <v>471</v>
      </c>
      <c r="B227" t="s">
        <v>472</v>
      </c>
      <c r="C227" t="s">
        <v>24</v>
      </c>
      <c r="D227" s="1">
        <v>45463</v>
      </c>
      <c r="E227" t="s">
        <v>16</v>
      </c>
      <c r="F227" s="2">
        <v>15</v>
      </c>
      <c r="G227" t="s">
        <v>25</v>
      </c>
      <c r="H227" t="s">
        <v>18</v>
      </c>
      <c r="I227" s="2">
        <v>10</v>
      </c>
      <c r="J227" t="s">
        <v>18</v>
      </c>
      <c r="K227" s="2">
        <v>20</v>
      </c>
      <c r="L227" s="2">
        <v>5</v>
      </c>
      <c r="M227" s="2">
        <v>40</v>
      </c>
    </row>
    <row r="228" spans="1:13">
      <c r="A228" t="s">
        <v>473</v>
      </c>
      <c r="B228" t="s">
        <v>474</v>
      </c>
      <c r="C228" t="s">
        <v>28</v>
      </c>
      <c r="D228" s="1">
        <v>45470</v>
      </c>
      <c r="E228" t="s">
        <v>18</v>
      </c>
      <c r="F228" s="2">
        <v>30</v>
      </c>
      <c r="G228" t="s">
        <v>21</v>
      </c>
      <c r="H228" t="s">
        <v>18</v>
      </c>
      <c r="I228" s="2">
        <v>10</v>
      </c>
      <c r="J228" t="s">
        <v>16</v>
      </c>
      <c r="K228" s="2">
        <v>0</v>
      </c>
      <c r="L228" s="2">
        <v>0</v>
      </c>
      <c r="M228" s="2">
        <v>40</v>
      </c>
    </row>
    <row r="229" spans="1:13">
      <c r="A229" t="s">
        <v>475</v>
      </c>
      <c r="B229" t="s">
        <v>476</v>
      </c>
      <c r="C229" t="s">
        <v>24</v>
      </c>
      <c r="D229" s="1">
        <v>45477</v>
      </c>
      <c r="E229" t="s">
        <v>16</v>
      </c>
      <c r="F229" s="2">
        <v>30</v>
      </c>
      <c r="G229" t="s">
        <v>21</v>
      </c>
      <c r="H229" t="s">
        <v>18</v>
      </c>
      <c r="I229" s="2">
        <v>10</v>
      </c>
      <c r="J229" t="s">
        <v>16</v>
      </c>
      <c r="K229" s="2">
        <v>0</v>
      </c>
      <c r="L229" s="2">
        <v>0</v>
      </c>
      <c r="M229" s="2">
        <v>40</v>
      </c>
    </row>
    <row r="230" spans="1:13">
      <c r="A230" t="s">
        <v>477</v>
      </c>
      <c r="B230" t="s">
        <v>478</v>
      </c>
      <c r="C230" t="s">
        <v>15</v>
      </c>
      <c r="D230" s="1">
        <v>45484</v>
      </c>
      <c r="E230" t="s">
        <v>18</v>
      </c>
      <c r="F230" s="2">
        <v>30</v>
      </c>
      <c r="G230" t="s">
        <v>21</v>
      </c>
      <c r="H230" t="s">
        <v>18</v>
      </c>
      <c r="I230" s="2">
        <v>10</v>
      </c>
      <c r="J230" t="s">
        <v>16</v>
      </c>
      <c r="K230" s="2">
        <v>0</v>
      </c>
      <c r="L230" s="2">
        <v>0</v>
      </c>
      <c r="M230" s="2">
        <v>40</v>
      </c>
    </row>
    <row r="231" spans="1:13">
      <c r="A231" t="s">
        <v>479</v>
      </c>
      <c r="B231" t="s">
        <v>480</v>
      </c>
      <c r="C231" t="s">
        <v>28</v>
      </c>
      <c r="D231" s="1">
        <v>45491</v>
      </c>
      <c r="E231" t="s">
        <v>18</v>
      </c>
      <c r="F231" s="2">
        <v>35</v>
      </c>
      <c r="G231" t="s">
        <v>21</v>
      </c>
      <c r="H231" t="s">
        <v>18</v>
      </c>
      <c r="I231" s="2">
        <v>10</v>
      </c>
      <c r="J231" t="s">
        <v>16</v>
      </c>
      <c r="K231" s="2">
        <v>0</v>
      </c>
      <c r="L231" s="2">
        <v>35</v>
      </c>
      <c r="M231" s="2">
        <v>10</v>
      </c>
    </row>
    <row r="232" spans="1:13">
      <c r="A232" t="s">
        <v>481</v>
      </c>
      <c r="B232" t="s">
        <v>482</v>
      </c>
      <c r="C232" t="s">
        <v>15</v>
      </c>
      <c r="D232" s="1">
        <v>45498</v>
      </c>
      <c r="E232" t="s">
        <v>16</v>
      </c>
      <c r="F232" s="2">
        <v>15</v>
      </c>
      <c r="G232" t="s">
        <v>25</v>
      </c>
      <c r="H232" t="s">
        <v>18</v>
      </c>
      <c r="I232" s="2">
        <v>10</v>
      </c>
      <c r="J232" t="s">
        <v>18</v>
      </c>
      <c r="K232" s="2">
        <v>20</v>
      </c>
      <c r="L232" s="2">
        <v>5</v>
      </c>
      <c r="M232" s="2">
        <v>40</v>
      </c>
    </row>
    <row r="233" spans="1:13">
      <c r="A233" t="s">
        <v>483</v>
      </c>
      <c r="B233" t="s">
        <v>484</v>
      </c>
      <c r="C233" t="s">
        <v>28</v>
      </c>
      <c r="D233" s="1">
        <v>45505</v>
      </c>
      <c r="E233" t="s">
        <v>18</v>
      </c>
      <c r="F233" s="2">
        <v>20</v>
      </c>
      <c r="G233" t="s">
        <v>17</v>
      </c>
      <c r="H233" t="s">
        <v>18</v>
      </c>
      <c r="I233" s="2">
        <v>10</v>
      </c>
      <c r="J233" t="s">
        <v>16</v>
      </c>
      <c r="K233" s="2">
        <v>0</v>
      </c>
      <c r="L233" s="2">
        <v>20</v>
      </c>
      <c r="M233" s="2">
        <v>10</v>
      </c>
    </row>
    <row r="234" spans="1:13">
      <c r="A234" t="s">
        <v>485</v>
      </c>
      <c r="B234" t="s">
        <v>486</v>
      </c>
      <c r="C234" t="s">
        <v>15</v>
      </c>
      <c r="D234" s="1">
        <v>45512</v>
      </c>
      <c r="E234" t="s">
        <v>16</v>
      </c>
      <c r="F234" s="2">
        <v>25</v>
      </c>
      <c r="G234" t="s">
        <v>17</v>
      </c>
      <c r="H234" t="s">
        <v>18</v>
      </c>
      <c r="I234" s="2">
        <v>10</v>
      </c>
      <c r="J234" t="s">
        <v>18</v>
      </c>
      <c r="K234" s="2">
        <v>20</v>
      </c>
      <c r="L234" s="2">
        <v>45</v>
      </c>
      <c r="M234" s="2">
        <v>10</v>
      </c>
    </row>
    <row r="235" spans="1:13">
      <c r="A235" t="s">
        <v>487</v>
      </c>
      <c r="B235" t="s">
        <v>488</v>
      </c>
      <c r="C235" t="s">
        <v>24</v>
      </c>
      <c r="D235" s="1">
        <v>45519</v>
      </c>
      <c r="E235" t="s">
        <v>16</v>
      </c>
      <c r="F235" s="2">
        <v>30</v>
      </c>
      <c r="G235" t="s">
        <v>25</v>
      </c>
      <c r="H235" t="s">
        <v>18</v>
      </c>
      <c r="I235" s="2">
        <v>10</v>
      </c>
      <c r="J235" t="s">
        <v>16</v>
      </c>
      <c r="K235" s="2">
        <v>0</v>
      </c>
      <c r="L235" s="2">
        <v>30</v>
      </c>
      <c r="M235" s="2">
        <v>10</v>
      </c>
    </row>
    <row r="236" spans="1:13">
      <c r="A236" t="s">
        <v>489</v>
      </c>
      <c r="B236" t="s">
        <v>490</v>
      </c>
      <c r="C236" t="s">
        <v>24</v>
      </c>
      <c r="D236" s="1">
        <v>45526</v>
      </c>
      <c r="E236" t="s">
        <v>18</v>
      </c>
      <c r="F236" s="2">
        <v>35</v>
      </c>
      <c r="G236" t="s">
        <v>21</v>
      </c>
      <c r="H236" t="s">
        <v>18</v>
      </c>
      <c r="I236" s="2">
        <v>10</v>
      </c>
      <c r="J236" t="s">
        <v>18</v>
      </c>
      <c r="K236" s="2">
        <v>20</v>
      </c>
      <c r="L236" s="2">
        <v>25</v>
      </c>
      <c r="M236" s="2">
        <v>40</v>
      </c>
    </row>
    <row r="237" spans="1:13">
      <c r="A237" t="s">
        <v>491</v>
      </c>
      <c r="B237" t="s">
        <v>492</v>
      </c>
      <c r="C237" t="s">
        <v>28</v>
      </c>
      <c r="D237" s="1">
        <v>45533</v>
      </c>
      <c r="E237" t="s">
        <v>16</v>
      </c>
      <c r="F237" s="2">
        <v>15</v>
      </c>
      <c r="G237" t="s">
        <v>25</v>
      </c>
      <c r="H237" t="s">
        <v>18</v>
      </c>
      <c r="I237" s="2">
        <v>10</v>
      </c>
      <c r="J237" t="s">
        <v>18</v>
      </c>
      <c r="K237" s="2">
        <v>20</v>
      </c>
      <c r="L237" s="2">
        <v>35</v>
      </c>
      <c r="M237" s="2">
        <v>10</v>
      </c>
    </row>
    <row r="238" spans="1:13">
      <c r="A238" t="s">
        <v>493</v>
      </c>
      <c r="B238" t="s">
        <v>494</v>
      </c>
      <c r="C238" t="s">
        <v>28</v>
      </c>
      <c r="D238" s="1">
        <v>45540</v>
      </c>
      <c r="E238" t="s">
        <v>18</v>
      </c>
      <c r="F238" s="2">
        <v>30</v>
      </c>
      <c r="G238" t="s">
        <v>17</v>
      </c>
      <c r="H238" t="s">
        <v>18</v>
      </c>
      <c r="I238" s="2">
        <v>10</v>
      </c>
      <c r="J238" t="s">
        <v>16</v>
      </c>
      <c r="K238" s="2">
        <v>0</v>
      </c>
      <c r="L238" s="2">
        <v>0</v>
      </c>
      <c r="M238" s="2">
        <v>40</v>
      </c>
    </row>
    <row r="239" spans="1:13">
      <c r="A239" t="s">
        <v>495</v>
      </c>
      <c r="B239" t="s">
        <v>496</v>
      </c>
      <c r="C239" t="s">
        <v>15</v>
      </c>
      <c r="D239" s="1">
        <v>45547</v>
      </c>
      <c r="E239" t="s">
        <v>16</v>
      </c>
      <c r="F239" s="2">
        <v>25</v>
      </c>
      <c r="G239" t="s">
        <v>25</v>
      </c>
      <c r="H239" t="s">
        <v>18</v>
      </c>
      <c r="I239" s="2">
        <v>10</v>
      </c>
      <c r="J239" t="s">
        <v>18</v>
      </c>
      <c r="K239" s="2">
        <v>20</v>
      </c>
      <c r="L239" s="2">
        <v>45</v>
      </c>
      <c r="M239" s="2">
        <v>10</v>
      </c>
    </row>
    <row r="240" spans="1:13">
      <c r="A240" t="s">
        <v>497</v>
      </c>
      <c r="B240" t="s">
        <v>498</v>
      </c>
      <c r="C240" t="s">
        <v>28</v>
      </c>
      <c r="D240" s="1">
        <v>45554</v>
      </c>
      <c r="E240" t="s">
        <v>18</v>
      </c>
      <c r="F240" s="2">
        <v>30</v>
      </c>
      <c r="G240" t="s">
        <v>17</v>
      </c>
      <c r="H240" t="s">
        <v>18</v>
      </c>
      <c r="I240" s="2">
        <v>10</v>
      </c>
      <c r="J240" t="s">
        <v>16</v>
      </c>
      <c r="K240" s="2">
        <v>0</v>
      </c>
      <c r="L240" s="2">
        <v>0</v>
      </c>
      <c r="M240" s="2">
        <v>40</v>
      </c>
    </row>
    <row r="241" spans="1:13">
      <c r="A241" t="s">
        <v>499</v>
      </c>
      <c r="B241" t="s">
        <v>500</v>
      </c>
      <c r="C241" t="s">
        <v>15</v>
      </c>
      <c r="D241" s="1">
        <v>45561</v>
      </c>
      <c r="E241" t="s">
        <v>18</v>
      </c>
      <c r="F241" s="2">
        <v>35</v>
      </c>
      <c r="G241" t="s">
        <v>17</v>
      </c>
      <c r="H241" t="s">
        <v>18</v>
      </c>
      <c r="I241" s="2">
        <v>10</v>
      </c>
      <c r="J241" t="s">
        <v>18</v>
      </c>
      <c r="K241" s="2">
        <v>20</v>
      </c>
      <c r="L241" s="2">
        <v>55</v>
      </c>
      <c r="M241" s="2">
        <v>10</v>
      </c>
    </row>
    <row r="242" spans="1:13">
      <c r="A242" t="s">
        <v>501</v>
      </c>
      <c r="B242" t="s">
        <v>502</v>
      </c>
      <c r="C242" t="s">
        <v>28</v>
      </c>
      <c r="D242" s="1">
        <v>45568</v>
      </c>
      <c r="E242" t="s">
        <v>16</v>
      </c>
      <c r="F242" s="2">
        <v>15</v>
      </c>
      <c r="G242" t="s">
        <v>17</v>
      </c>
      <c r="H242" t="s">
        <v>18</v>
      </c>
      <c r="I242" s="2">
        <v>10</v>
      </c>
      <c r="J242" t="s">
        <v>18</v>
      </c>
      <c r="K242" s="2">
        <v>20</v>
      </c>
      <c r="L242" s="2">
        <v>35</v>
      </c>
      <c r="M242" s="2">
        <v>10</v>
      </c>
    </row>
    <row r="243" spans="1:13">
      <c r="A243" t="s">
        <v>503</v>
      </c>
      <c r="B243" t="s">
        <v>504</v>
      </c>
      <c r="C243" t="s">
        <v>28</v>
      </c>
      <c r="D243" s="1">
        <v>45575</v>
      </c>
      <c r="E243" t="s">
        <v>16</v>
      </c>
      <c r="F243" s="2">
        <v>20</v>
      </c>
      <c r="G243" t="s">
        <v>25</v>
      </c>
      <c r="H243" t="s">
        <v>18</v>
      </c>
      <c r="I243" s="2">
        <v>10</v>
      </c>
      <c r="J243" t="s">
        <v>18</v>
      </c>
      <c r="K243" s="2">
        <v>20</v>
      </c>
      <c r="L243" s="2">
        <v>40</v>
      </c>
      <c r="M243" s="2">
        <v>10</v>
      </c>
    </row>
    <row r="244" spans="1:13">
      <c r="A244" t="s">
        <v>505</v>
      </c>
      <c r="B244" t="s">
        <v>506</v>
      </c>
      <c r="C244" t="s">
        <v>28</v>
      </c>
      <c r="D244" s="1">
        <v>45582</v>
      </c>
      <c r="E244" t="s">
        <v>16</v>
      </c>
      <c r="F244" s="2">
        <v>25</v>
      </c>
      <c r="G244" t="s">
        <v>25</v>
      </c>
      <c r="H244" t="s">
        <v>18</v>
      </c>
      <c r="I244" s="2">
        <v>10</v>
      </c>
      <c r="J244" t="s">
        <v>16</v>
      </c>
      <c r="K244" s="2">
        <v>0</v>
      </c>
      <c r="L244" s="2">
        <v>25</v>
      </c>
      <c r="M244" s="2">
        <v>10</v>
      </c>
    </row>
    <row r="245" spans="1:13">
      <c r="A245" t="s">
        <v>507</v>
      </c>
      <c r="B245" t="s">
        <v>508</v>
      </c>
      <c r="C245" t="s">
        <v>15</v>
      </c>
      <c r="D245" s="1">
        <v>45589</v>
      </c>
      <c r="E245" t="s">
        <v>18</v>
      </c>
      <c r="F245" s="2">
        <v>30</v>
      </c>
      <c r="G245" t="s">
        <v>21</v>
      </c>
      <c r="H245" t="s">
        <v>18</v>
      </c>
      <c r="I245" s="2">
        <v>10</v>
      </c>
      <c r="J245" t="s">
        <v>18</v>
      </c>
      <c r="K245" s="2">
        <v>20</v>
      </c>
      <c r="L245" s="2">
        <v>50</v>
      </c>
      <c r="M245" s="2">
        <v>10</v>
      </c>
    </row>
    <row r="246" spans="1:13">
      <c r="A246" t="s">
        <v>509</v>
      </c>
      <c r="B246" t="s">
        <v>510</v>
      </c>
      <c r="C246" t="s">
        <v>28</v>
      </c>
      <c r="D246" s="1">
        <v>45596</v>
      </c>
      <c r="E246" t="s">
        <v>16</v>
      </c>
      <c r="F246" s="2">
        <v>35</v>
      </c>
      <c r="G246" t="s">
        <v>25</v>
      </c>
      <c r="H246" t="s">
        <v>18</v>
      </c>
      <c r="I246" s="2">
        <v>10</v>
      </c>
      <c r="J246" t="s">
        <v>16</v>
      </c>
      <c r="K246" s="2">
        <v>0</v>
      </c>
      <c r="L246" s="2">
        <v>5</v>
      </c>
      <c r="M246" s="2">
        <v>40</v>
      </c>
    </row>
    <row r="247" spans="1:13">
      <c r="A247" t="s">
        <v>511</v>
      </c>
      <c r="B247" t="s">
        <v>512</v>
      </c>
      <c r="C247" t="s">
        <v>15</v>
      </c>
      <c r="D247" s="1">
        <v>45603</v>
      </c>
      <c r="E247" t="s">
        <v>16</v>
      </c>
      <c r="F247" s="2">
        <v>15</v>
      </c>
      <c r="G247" t="s">
        <v>21</v>
      </c>
      <c r="H247" t="s">
        <v>18</v>
      </c>
      <c r="I247" s="2">
        <v>10</v>
      </c>
      <c r="J247" t="s">
        <v>18</v>
      </c>
      <c r="K247" s="2">
        <v>20</v>
      </c>
      <c r="L247" s="2">
        <v>35</v>
      </c>
      <c r="M247" s="2">
        <v>10</v>
      </c>
    </row>
    <row r="248" spans="1:13">
      <c r="A248" t="s">
        <v>513</v>
      </c>
      <c r="B248" t="s">
        <v>514</v>
      </c>
      <c r="C248" t="s">
        <v>28</v>
      </c>
      <c r="D248" s="1">
        <v>45610</v>
      </c>
      <c r="E248" t="s">
        <v>16</v>
      </c>
      <c r="F248" s="2">
        <v>30</v>
      </c>
      <c r="G248" t="s">
        <v>17</v>
      </c>
      <c r="H248" t="s">
        <v>18</v>
      </c>
      <c r="I248" s="2">
        <v>10</v>
      </c>
      <c r="J248" t="s">
        <v>16</v>
      </c>
      <c r="K248" s="2">
        <v>0</v>
      </c>
      <c r="L248" s="2">
        <v>0</v>
      </c>
      <c r="M248" s="2">
        <v>40</v>
      </c>
    </row>
    <row r="249" spans="1:13">
      <c r="A249" t="s">
        <v>515</v>
      </c>
      <c r="B249" t="s">
        <v>516</v>
      </c>
      <c r="C249" t="s">
        <v>28</v>
      </c>
      <c r="D249" s="1">
        <v>45617</v>
      </c>
      <c r="E249" t="s">
        <v>16</v>
      </c>
      <c r="F249" s="2">
        <v>25</v>
      </c>
      <c r="G249" t="s">
        <v>21</v>
      </c>
      <c r="H249" t="s">
        <v>18</v>
      </c>
      <c r="I249" s="2">
        <v>10</v>
      </c>
      <c r="J249" t="s">
        <v>18</v>
      </c>
      <c r="K249" s="2">
        <v>20</v>
      </c>
      <c r="L249" s="2">
        <v>45</v>
      </c>
      <c r="M249" s="2">
        <v>10</v>
      </c>
    </row>
    <row r="250" spans="1:13">
      <c r="A250" t="s">
        <v>517</v>
      </c>
      <c r="B250" t="s">
        <v>518</v>
      </c>
      <c r="C250" t="s">
        <v>24</v>
      </c>
      <c r="D250" s="1">
        <v>45624</v>
      </c>
      <c r="E250" t="s">
        <v>16</v>
      </c>
      <c r="F250" s="2">
        <v>30</v>
      </c>
      <c r="G250" t="s">
        <v>21</v>
      </c>
      <c r="H250" t="s">
        <v>18</v>
      </c>
      <c r="I250" s="2">
        <v>10</v>
      </c>
      <c r="J250" t="s">
        <v>18</v>
      </c>
      <c r="K250" s="2">
        <v>20</v>
      </c>
      <c r="L250" s="2">
        <v>20</v>
      </c>
      <c r="M250" s="2">
        <v>40</v>
      </c>
    </row>
    <row r="251" spans="1:13">
      <c r="A251" t="s">
        <v>519</v>
      </c>
      <c r="B251" t="s">
        <v>520</v>
      </c>
      <c r="C251" t="s">
        <v>28</v>
      </c>
      <c r="D251" s="1">
        <v>45631</v>
      </c>
      <c r="E251" t="s">
        <v>18</v>
      </c>
      <c r="F251" s="2">
        <v>35</v>
      </c>
      <c r="G251" t="s">
        <v>21</v>
      </c>
      <c r="H251" t="s">
        <v>18</v>
      </c>
      <c r="I251" s="2">
        <v>10</v>
      </c>
      <c r="J251" t="s">
        <v>16</v>
      </c>
      <c r="K251" s="2">
        <v>0</v>
      </c>
      <c r="L251" s="2">
        <v>5</v>
      </c>
      <c r="M251" s="2">
        <v>40</v>
      </c>
    </row>
    <row r="252" spans="1:13">
      <c r="A252" t="s">
        <v>521</v>
      </c>
      <c r="B252" t="s">
        <v>522</v>
      </c>
      <c r="C252" t="s">
        <v>24</v>
      </c>
      <c r="D252" s="1">
        <v>45638</v>
      </c>
      <c r="E252" t="s">
        <v>18</v>
      </c>
      <c r="F252" s="2">
        <v>15</v>
      </c>
      <c r="G252" t="s">
        <v>25</v>
      </c>
      <c r="H252" t="s">
        <v>18</v>
      </c>
      <c r="I252" s="2">
        <v>10</v>
      </c>
      <c r="J252" t="s">
        <v>18</v>
      </c>
      <c r="K252" s="2">
        <v>20</v>
      </c>
      <c r="L252" s="2">
        <v>35</v>
      </c>
      <c r="M252" s="2">
        <v>10</v>
      </c>
    </row>
    <row r="253" spans="1:13">
      <c r="A253" t="s">
        <v>523</v>
      </c>
      <c r="B253" t="s">
        <v>524</v>
      </c>
      <c r="C253" t="s">
        <v>28</v>
      </c>
      <c r="D253" s="1">
        <v>45294</v>
      </c>
      <c r="E253" t="s">
        <v>18</v>
      </c>
      <c r="F253" s="2">
        <v>20</v>
      </c>
      <c r="G253" t="s">
        <v>25</v>
      </c>
      <c r="H253" t="s">
        <v>18</v>
      </c>
      <c r="I253" s="2">
        <v>10</v>
      </c>
      <c r="J253" t="s">
        <v>18</v>
      </c>
      <c r="K253" s="2">
        <v>20</v>
      </c>
      <c r="L253" s="2">
        <v>40</v>
      </c>
      <c r="M253" s="2">
        <v>10</v>
      </c>
    </row>
    <row r="254" spans="1:13">
      <c r="A254" t="s">
        <v>525</v>
      </c>
      <c r="B254" t="s">
        <v>526</v>
      </c>
      <c r="C254" t="s">
        <v>28</v>
      </c>
      <c r="D254" s="1">
        <v>45301</v>
      </c>
      <c r="E254" t="s">
        <v>18</v>
      </c>
      <c r="F254" s="2">
        <v>25</v>
      </c>
      <c r="G254" t="s">
        <v>21</v>
      </c>
      <c r="H254" t="s">
        <v>18</v>
      </c>
      <c r="I254" s="2">
        <v>10</v>
      </c>
      <c r="J254" t="s">
        <v>18</v>
      </c>
      <c r="K254" s="2">
        <v>20</v>
      </c>
      <c r="L254" s="2">
        <v>45</v>
      </c>
      <c r="M254" s="2">
        <v>10</v>
      </c>
    </row>
    <row r="255" spans="1:13">
      <c r="A255" t="s">
        <v>527</v>
      </c>
      <c r="B255" t="s">
        <v>528</v>
      </c>
      <c r="C255" t="s">
        <v>28</v>
      </c>
      <c r="D255" s="1">
        <v>45308</v>
      </c>
      <c r="E255" t="s">
        <v>16</v>
      </c>
      <c r="F255" s="2">
        <v>30</v>
      </c>
      <c r="G255" t="s">
        <v>25</v>
      </c>
      <c r="H255" t="s">
        <v>18</v>
      </c>
      <c r="I255" s="2">
        <v>10</v>
      </c>
      <c r="J255" t="s">
        <v>18</v>
      </c>
      <c r="K255" s="2">
        <v>20</v>
      </c>
      <c r="L255" s="2">
        <v>20</v>
      </c>
      <c r="M255" s="2">
        <v>40</v>
      </c>
    </row>
    <row r="256" spans="1:13">
      <c r="A256" t="s">
        <v>529</v>
      </c>
      <c r="B256" t="s">
        <v>530</v>
      </c>
      <c r="C256" t="s">
        <v>15</v>
      </c>
      <c r="D256" s="1">
        <v>45315</v>
      </c>
      <c r="E256" t="s">
        <v>16</v>
      </c>
      <c r="F256" s="2">
        <v>35</v>
      </c>
      <c r="G256" t="s">
        <v>17</v>
      </c>
      <c r="H256" t="s">
        <v>18</v>
      </c>
      <c r="I256" s="2">
        <v>10</v>
      </c>
      <c r="J256" t="s">
        <v>18</v>
      </c>
      <c r="K256" s="2">
        <v>20</v>
      </c>
      <c r="L256" s="2">
        <v>55</v>
      </c>
      <c r="M256" s="2">
        <v>10</v>
      </c>
    </row>
    <row r="257" spans="1:13">
      <c r="A257" t="s">
        <v>531</v>
      </c>
      <c r="B257" t="s">
        <v>532</v>
      </c>
      <c r="C257" t="s">
        <v>15</v>
      </c>
      <c r="D257" s="1">
        <v>45322</v>
      </c>
      <c r="E257" t="s">
        <v>18</v>
      </c>
      <c r="F257" s="2">
        <v>15</v>
      </c>
      <c r="G257" t="s">
        <v>17</v>
      </c>
      <c r="H257" t="s">
        <v>18</v>
      </c>
      <c r="I257" s="2">
        <v>10</v>
      </c>
      <c r="J257" t="s">
        <v>16</v>
      </c>
      <c r="K257" s="2">
        <v>0</v>
      </c>
      <c r="L257" s="2">
        <v>15</v>
      </c>
      <c r="M257" s="2">
        <v>10</v>
      </c>
    </row>
    <row r="258" spans="1:13">
      <c r="A258" t="s">
        <v>533</v>
      </c>
      <c r="B258" t="s">
        <v>534</v>
      </c>
      <c r="C258" t="s">
        <v>15</v>
      </c>
      <c r="D258" s="1">
        <v>45329</v>
      </c>
      <c r="E258" t="s">
        <v>16</v>
      </c>
      <c r="F258" s="2">
        <v>20</v>
      </c>
      <c r="G258" t="s">
        <v>21</v>
      </c>
      <c r="H258" t="s">
        <v>18</v>
      </c>
      <c r="I258" s="2">
        <v>10</v>
      </c>
      <c r="J258" t="s">
        <v>16</v>
      </c>
      <c r="K258" s="2">
        <v>0</v>
      </c>
      <c r="L258" s="2">
        <v>20</v>
      </c>
      <c r="M258" s="2">
        <v>10</v>
      </c>
    </row>
    <row r="259" spans="1:13">
      <c r="A259" t="s">
        <v>535</v>
      </c>
      <c r="B259" t="s">
        <v>536</v>
      </c>
      <c r="C259" t="s">
        <v>24</v>
      </c>
      <c r="D259" s="1">
        <v>45336</v>
      </c>
      <c r="E259" t="s">
        <v>18</v>
      </c>
      <c r="F259" s="2">
        <v>25</v>
      </c>
      <c r="G259" t="s">
        <v>17</v>
      </c>
      <c r="H259" t="s">
        <v>18</v>
      </c>
      <c r="I259" s="2">
        <v>10</v>
      </c>
      <c r="J259" t="s">
        <v>18</v>
      </c>
      <c r="K259" s="2">
        <v>20</v>
      </c>
      <c r="L259" s="2">
        <v>15</v>
      </c>
      <c r="M259" s="2">
        <v>40</v>
      </c>
    </row>
    <row r="260" spans="1:13">
      <c r="A260" t="s">
        <v>537</v>
      </c>
      <c r="B260" t="s">
        <v>538</v>
      </c>
      <c r="C260" t="s">
        <v>15</v>
      </c>
      <c r="D260" s="1">
        <v>45343</v>
      </c>
      <c r="E260" t="s">
        <v>18</v>
      </c>
      <c r="F260" s="2">
        <v>30</v>
      </c>
      <c r="G260" t="s">
        <v>17</v>
      </c>
      <c r="H260" t="s">
        <v>18</v>
      </c>
      <c r="I260" s="2">
        <v>10</v>
      </c>
      <c r="J260" t="s">
        <v>18</v>
      </c>
      <c r="K260" s="2">
        <v>20</v>
      </c>
      <c r="L260" s="2">
        <v>20</v>
      </c>
      <c r="M260" s="2">
        <v>40</v>
      </c>
    </row>
    <row r="261" spans="1:13">
      <c r="A261" t="s">
        <v>539</v>
      </c>
      <c r="B261" t="s">
        <v>540</v>
      </c>
      <c r="C261" t="s">
        <v>24</v>
      </c>
      <c r="D261" s="1">
        <v>45350</v>
      </c>
      <c r="E261" t="s">
        <v>16</v>
      </c>
      <c r="F261" s="2">
        <v>35</v>
      </c>
      <c r="G261" t="s">
        <v>17</v>
      </c>
      <c r="H261" t="s">
        <v>18</v>
      </c>
      <c r="I261" s="2">
        <v>10</v>
      </c>
      <c r="J261" t="s">
        <v>16</v>
      </c>
      <c r="K261" s="2">
        <v>0</v>
      </c>
      <c r="L261" s="2">
        <v>35</v>
      </c>
      <c r="M261" s="2">
        <v>10</v>
      </c>
    </row>
    <row r="262" spans="1:13">
      <c r="A262" t="s">
        <v>541</v>
      </c>
      <c r="B262" t="s">
        <v>542</v>
      </c>
      <c r="C262" t="s">
        <v>15</v>
      </c>
      <c r="D262" s="1">
        <v>45357</v>
      </c>
      <c r="E262" t="s">
        <v>16</v>
      </c>
      <c r="F262" s="2">
        <v>15</v>
      </c>
      <c r="G262" t="s">
        <v>21</v>
      </c>
      <c r="H262" t="s">
        <v>18</v>
      </c>
      <c r="I262" s="2">
        <v>10</v>
      </c>
      <c r="J262" t="s">
        <v>18</v>
      </c>
      <c r="K262" s="2">
        <v>20</v>
      </c>
      <c r="L262" s="2">
        <v>35</v>
      </c>
      <c r="M262" s="2">
        <v>10</v>
      </c>
    </row>
    <row r="263" spans="1:13">
      <c r="A263" t="s">
        <v>543</v>
      </c>
      <c r="B263" t="s">
        <v>544</v>
      </c>
      <c r="C263" t="s">
        <v>24</v>
      </c>
      <c r="D263" s="1">
        <v>45364</v>
      </c>
      <c r="E263" t="s">
        <v>18</v>
      </c>
      <c r="F263" s="2">
        <v>20</v>
      </c>
      <c r="G263" t="s">
        <v>21</v>
      </c>
      <c r="H263" t="s">
        <v>18</v>
      </c>
      <c r="I263" s="2">
        <v>10</v>
      </c>
      <c r="J263" t="s">
        <v>16</v>
      </c>
      <c r="K263" s="2">
        <v>0</v>
      </c>
      <c r="L263" s="2">
        <v>20</v>
      </c>
      <c r="M263" s="2">
        <v>10</v>
      </c>
    </row>
    <row r="264" spans="1:13">
      <c r="A264" t="s">
        <v>545</v>
      </c>
      <c r="B264" t="s">
        <v>546</v>
      </c>
      <c r="C264" t="s">
        <v>15</v>
      </c>
      <c r="D264" s="1">
        <v>45371</v>
      </c>
      <c r="E264" t="s">
        <v>16</v>
      </c>
      <c r="F264" s="2">
        <v>25</v>
      </c>
      <c r="G264" t="s">
        <v>17</v>
      </c>
      <c r="H264" t="s">
        <v>18</v>
      </c>
      <c r="I264" s="2">
        <v>10</v>
      </c>
      <c r="J264" t="s">
        <v>18</v>
      </c>
      <c r="K264" s="2">
        <v>20</v>
      </c>
      <c r="L264" s="2">
        <v>15</v>
      </c>
      <c r="M264" s="2">
        <v>40</v>
      </c>
    </row>
    <row r="265" spans="1:13">
      <c r="A265" t="s">
        <v>547</v>
      </c>
      <c r="B265" t="s">
        <v>548</v>
      </c>
      <c r="C265" t="s">
        <v>15</v>
      </c>
      <c r="D265" s="1">
        <v>45378</v>
      </c>
      <c r="E265" t="s">
        <v>16</v>
      </c>
      <c r="F265" s="2">
        <v>30</v>
      </c>
      <c r="G265" t="s">
        <v>25</v>
      </c>
      <c r="H265" t="s">
        <v>18</v>
      </c>
      <c r="I265" s="2">
        <v>10</v>
      </c>
      <c r="J265" t="s">
        <v>18</v>
      </c>
      <c r="K265" s="2">
        <v>20</v>
      </c>
      <c r="L265" s="2">
        <v>50</v>
      </c>
      <c r="M265" s="2">
        <v>10</v>
      </c>
    </row>
    <row r="266" spans="1:13">
      <c r="A266" t="s">
        <v>549</v>
      </c>
      <c r="B266" t="s">
        <v>550</v>
      </c>
      <c r="C266" t="s">
        <v>28</v>
      </c>
      <c r="D266" s="1">
        <v>45385</v>
      </c>
      <c r="E266" t="s">
        <v>16</v>
      </c>
      <c r="F266" s="2">
        <v>35</v>
      </c>
      <c r="G266" t="s">
        <v>17</v>
      </c>
      <c r="H266" t="s">
        <v>18</v>
      </c>
      <c r="I266" s="2">
        <v>10</v>
      </c>
      <c r="J266" t="s">
        <v>16</v>
      </c>
      <c r="K266" s="2">
        <v>0</v>
      </c>
      <c r="L266" s="2">
        <v>5</v>
      </c>
      <c r="M266" s="2">
        <v>40</v>
      </c>
    </row>
    <row r="267" spans="1:13">
      <c r="A267" t="s">
        <v>551</v>
      </c>
      <c r="B267" t="s">
        <v>552</v>
      </c>
      <c r="C267" t="s">
        <v>24</v>
      </c>
      <c r="D267" s="1">
        <v>45392</v>
      </c>
      <c r="E267" t="s">
        <v>16</v>
      </c>
      <c r="F267" s="2">
        <v>15</v>
      </c>
      <c r="G267" t="s">
        <v>17</v>
      </c>
      <c r="H267" t="s">
        <v>18</v>
      </c>
      <c r="I267" s="2">
        <v>10</v>
      </c>
      <c r="J267" t="s">
        <v>18</v>
      </c>
      <c r="K267" s="2">
        <v>20</v>
      </c>
      <c r="L267" s="2">
        <v>35</v>
      </c>
      <c r="M267" s="2">
        <v>10</v>
      </c>
    </row>
    <row r="268" spans="1:13">
      <c r="A268" t="s">
        <v>553</v>
      </c>
      <c r="B268" t="s">
        <v>554</v>
      </c>
      <c r="C268" t="s">
        <v>15</v>
      </c>
      <c r="D268" s="1">
        <v>45399</v>
      </c>
      <c r="E268" t="s">
        <v>18</v>
      </c>
      <c r="F268" s="2">
        <v>20</v>
      </c>
      <c r="G268" t="s">
        <v>21</v>
      </c>
      <c r="H268" t="s">
        <v>18</v>
      </c>
      <c r="I268" s="2">
        <v>10</v>
      </c>
      <c r="J268" t="s">
        <v>18</v>
      </c>
      <c r="K268" s="2">
        <v>20</v>
      </c>
      <c r="L268" s="2">
        <v>40</v>
      </c>
      <c r="M268" s="2">
        <v>10</v>
      </c>
    </row>
    <row r="269" spans="1:13">
      <c r="A269" t="s">
        <v>555</v>
      </c>
      <c r="B269" t="s">
        <v>556</v>
      </c>
      <c r="C269" t="s">
        <v>28</v>
      </c>
      <c r="D269" s="1">
        <v>45406</v>
      </c>
      <c r="E269" t="s">
        <v>18</v>
      </c>
      <c r="F269" s="2">
        <v>25</v>
      </c>
      <c r="G269" t="s">
        <v>17</v>
      </c>
      <c r="H269" t="s">
        <v>18</v>
      </c>
      <c r="I269" s="2">
        <v>10</v>
      </c>
      <c r="J269" t="s">
        <v>18</v>
      </c>
      <c r="K269" s="2">
        <v>20</v>
      </c>
      <c r="L269" s="2">
        <v>45</v>
      </c>
      <c r="M269" s="2">
        <v>10</v>
      </c>
    </row>
    <row r="270" spans="1:13">
      <c r="A270" t="s">
        <v>557</v>
      </c>
      <c r="B270" t="s">
        <v>558</v>
      </c>
      <c r="C270" t="s">
        <v>24</v>
      </c>
      <c r="D270" s="1">
        <v>45413</v>
      </c>
      <c r="E270" t="s">
        <v>16</v>
      </c>
      <c r="F270" s="2">
        <v>30</v>
      </c>
      <c r="G270" t="s">
        <v>21</v>
      </c>
      <c r="H270" t="s">
        <v>18</v>
      </c>
      <c r="I270" s="2">
        <v>10</v>
      </c>
      <c r="J270" t="s">
        <v>16</v>
      </c>
      <c r="K270" s="2">
        <v>0</v>
      </c>
      <c r="L270" s="2">
        <v>0</v>
      </c>
      <c r="M270" s="2">
        <v>40</v>
      </c>
    </row>
    <row r="271" spans="1:13">
      <c r="A271" t="s">
        <v>559</v>
      </c>
      <c r="B271" t="s">
        <v>560</v>
      </c>
      <c r="C271" t="s">
        <v>15</v>
      </c>
      <c r="D271" s="1">
        <v>45420</v>
      </c>
      <c r="E271" t="s">
        <v>16</v>
      </c>
      <c r="F271" s="2">
        <v>35</v>
      </c>
      <c r="G271" t="s">
        <v>17</v>
      </c>
      <c r="H271" t="s">
        <v>18</v>
      </c>
      <c r="I271" s="2">
        <v>10</v>
      </c>
      <c r="J271" t="s">
        <v>18</v>
      </c>
      <c r="K271" s="2">
        <v>20</v>
      </c>
      <c r="L271" s="2">
        <v>55</v>
      </c>
      <c r="M271" s="2">
        <v>10</v>
      </c>
    </row>
    <row r="272" spans="1:13">
      <c r="A272" t="s">
        <v>561</v>
      </c>
      <c r="B272" t="s">
        <v>562</v>
      </c>
      <c r="C272" t="s">
        <v>15</v>
      </c>
      <c r="D272" s="1">
        <v>45427</v>
      </c>
      <c r="E272" t="s">
        <v>16</v>
      </c>
      <c r="F272" s="2">
        <v>30</v>
      </c>
      <c r="G272" t="s">
        <v>25</v>
      </c>
      <c r="H272" t="s">
        <v>18</v>
      </c>
      <c r="I272" s="2">
        <v>10</v>
      </c>
      <c r="J272" t="s">
        <v>16</v>
      </c>
      <c r="K272" s="2">
        <v>0</v>
      </c>
      <c r="L272" s="2">
        <v>0</v>
      </c>
      <c r="M272" s="2">
        <v>40</v>
      </c>
    </row>
    <row r="273" spans="1:13">
      <c r="A273" t="s">
        <v>563</v>
      </c>
      <c r="B273" t="s">
        <v>564</v>
      </c>
      <c r="C273" t="s">
        <v>15</v>
      </c>
      <c r="D273" s="1">
        <v>45434</v>
      </c>
      <c r="E273" t="s">
        <v>18</v>
      </c>
      <c r="F273" s="2">
        <v>30</v>
      </c>
      <c r="G273" t="s">
        <v>17</v>
      </c>
      <c r="H273" t="s">
        <v>18</v>
      </c>
      <c r="I273" s="2">
        <v>10</v>
      </c>
      <c r="J273" t="s">
        <v>16</v>
      </c>
      <c r="K273" s="2">
        <v>0</v>
      </c>
      <c r="L273" s="2">
        <v>0</v>
      </c>
      <c r="M273" s="2">
        <v>40</v>
      </c>
    </row>
    <row r="274" spans="1:13">
      <c r="A274" t="s">
        <v>565</v>
      </c>
      <c r="B274" t="s">
        <v>566</v>
      </c>
      <c r="C274" t="s">
        <v>15</v>
      </c>
      <c r="D274" s="1">
        <v>45441</v>
      </c>
      <c r="E274" t="s">
        <v>18</v>
      </c>
      <c r="F274" s="2">
        <v>25</v>
      </c>
      <c r="G274" t="s">
        <v>25</v>
      </c>
      <c r="H274" t="s">
        <v>18</v>
      </c>
      <c r="I274" s="2">
        <v>10</v>
      </c>
      <c r="J274" t="s">
        <v>18</v>
      </c>
      <c r="K274" s="2">
        <v>20</v>
      </c>
      <c r="L274" s="2">
        <v>15</v>
      </c>
      <c r="M274" s="2">
        <v>40</v>
      </c>
    </row>
    <row r="275" spans="1:13">
      <c r="A275" t="s">
        <v>567</v>
      </c>
      <c r="B275" t="s">
        <v>568</v>
      </c>
      <c r="C275" t="s">
        <v>28</v>
      </c>
      <c r="D275" s="1">
        <v>45448</v>
      </c>
      <c r="E275" t="s">
        <v>18</v>
      </c>
      <c r="F275" s="2">
        <v>30</v>
      </c>
      <c r="G275" t="s">
        <v>21</v>
      </c>
      <c r="H275" t="s">
        <v>18</v>
      </c>
      <c r="I275" s="2">
        <v>10</v>
      </c>
      <c r="J275" t="s">
        <v>16</v>
      </c>
      <c r="K275" s="2">
        <v>0</v>
      </c>
      <c r="L275" s="2">
        <v>30</v>
      </c>
      <c r="M275" s="2">
        <v>10</v>
      </c>
    </row>
    <row r="276" spans="1:13">
      <c r="A276" t="s">
        <v>569</v>
      </c>
      <c r="B276" t="s">
        <v>570</v>
      </c>
      <c r="C276" t="s">
        <v>15</v>
      </c>
      <c r="D276" s="1">
        <v>45455</v>
      </c>
      <c r="E276" t="s">
        <v>16</v>
      </c>
      <c r="F276" s="2">
        <v>35</v>
      </c>
      <c r="G276" t="s">
        <v>25</v>
      </c>
      <c r="H276" t="s">
        <v>18</v>
      </c>
      <c r="I276" s="2">
        <v>10</v>
      </c>
      <c r="J276" t="s">
        <v>18</v>
      </c>
      <c r="K276" s="2">
        <v>20</v>
      </c>
      <c r="L276" s="2">
        <v>55</v>
      </c>
      <c r="M276" s="2">
        <v>10</v>
      </c>
    </row>
    <row r="277" spans="1:13">
      <c r="A277" t="s">
        <v>571</v>
      </c>
      <c r="B277" t="s">
        <v>572</v>
      </c>
      <c r="C277" t="s">
        <v>24</v>
      </c>
      <c r="D277" s="1">
        <v>45462</v>
      </c>
      <c r="E277" t="s">
        <v>18</v>
      </c>
      <c r="F277" s="2">
        <v>15</v>
      </c>
      <c r="G277" t="s">
        <v>25</v>
      </c>
      <c r="H277" t="s">
        <v>18</v>
      </c>
      <c r="I277" s="2">
        <v>10</v>
      </c>
      <c r="J277" t="s">
        <v>18</v>
      </c>
      <c r="K277" s="2">
        <v>20</v>
      </c>
      <c r="L277" s="2">
        <v>35</v>
      </c>
      <c r="M277" s="2">
        <v>10</v>
      </c>
    </row>
    <row r="278" spans="1:13">
      <c r="A278" t="s">
        <v>573</v>
      </c>
      <c r="B278" t="s">
        <v>574</v>
      </c>
      <c r="C278" t="s">
        <v>15</v>
      </c>
      <c r="D278" s="1">
        <v>45469</v>
      </c>
      <c r="E278" t="s">
        <v>16</v>
      </c>
      <c r="F278" s="2">
        <v>20</v>
      </c>
      <c r="G278" t="s">
        <v>21</v>
      </c>
      <c r="H278" t="s">
        <v>18</v>
      </c>
      <c r="I278" s="2">
        <v>10</v>
      </c>
      <c r="J278" t="s">
        <v>16</v>
      </c>
      <c r="K278" s="2">
        <v>0</v>
      </c>
      <c r="L278" s="2">
        <v>20</v>
      </c>
      <c r="M278" s="2">
        <v>10</v>
      </c>
    </row>
    <row r="279" spans="1:13">
      <c r="A279" t="s">
        <v>575</v>
      </c>
      <c r="B279" t="s">
        <v>576</v>
      </c>
      <c r="C279" t="s">
        <v>24</v>
      </c>
      <c r="D279" s="1">
        <v>45476</v>
      </c>
      <c r="E279" t="s">
        <v>18</v>
      </c>
      <c r="F279" s="2">
        <v>25</v>
      </c>
      <c r="G279" t="s">
        <v>21</v>
      </c>
      <c r="H279" t="s">
        <v>18</v>
      </c>
      <c r="I279" s="2">
        <v>10</v>
      </c>
      <c r="J279" t="s">
        <v>18</v>
      </c>
      <c r="K279" s="2">
        <v>20</v>
      </c>
      <c r="L279" s="2">
        <v>45</v>
      </c>
      <c r="M279" s="2">
        <v>10</v>
      </c>
    </row>
    <row r="280" spans="1:13">
      <c r="A280" t="s">
        <v>577</v>
      </c>
      <c r="B280" t="s">
        <v>578</v>
      </c>
      <c r="C280" t="s">
        <v>24</v>
      </c>
      <c r="D280" s="1">
        <v>45483</v>
      </c>
      <c r="E280" t="s">
        <v>18</v>
      </c>
      <c r="F280" s="2">
        <v>30</v>
      </c>
      <c r="G280" t="s">
        <v>21</v>
      </c>
      <c r="H280" t="s">
        <v>18</v>
      </c>
      <c r="I280" s="2">
        <v>10</v>
      </c>
      <c r="J280" t="s">
        <v>16</v>
      </c>
      <c r="K280" s="2">
        <v>0</v>
      </c>
      <c r="L280" s="2">
        <v>30</v>
      </c>
      <c r="M280" s="2">
        <v>10</v>
      </c>
    </row>
    <row r="281" spans="1:13">
      <c r="A281" t="s">
        <v>579</v>
      </c>
      <c r="B281" t="s">
        <v>580</v>
      </c>
      <c r="C281" t="s">
        <v>24</v>
      </c>
      <c r="D281" s="1">
        <v>45490</v>
      </c>
      <c r="E281" t="s">
        <v>16</v>
      </c>
      <c r="F281" s="2">
        <v>35</v>
      </c>
      <c r="G281" t="s">
        <v>21</v>
      </c>
      <c r="H281" t="s">
        <v>18</v>
      </c>
      <c r="I281" s="2">
        <v>10</v>
      </c>
      <c r="J281" t="s">
        <v>18</v>
      </c>
      <c r="K281" s="2">
        <v>20</v>
      </c>
      <c r="L281" s="2">
        <v>55</v>
      </c>
      <c r="M281" s="2">
        <v>10</v>
      </c>
    </row>
    <row r="282" spans="1:13">
      <c r="A282" t="s">
        <v>581</v>
      </c>
      <c r="B282" t="s">
        <v>582</v>
      </c>
      <c r="C282" t="s">
        <v>24</v>
      </c>
      <c r="D282" s="1">
        <v>45497</v>
      </c>
      <c r="E282" t="s">
        <v>18</v>
      </c>
      <c r="F282" s="2">
        <v>15</v>
      </c>
      <c r="G282" t="s">
        <v>25</v>
      </c>
      <c r="H282" t="s">
        <v>18</v>
      </c>
      <c r="I282" s="2">
        <v>10</v>
      </c>
      <c r="J282" t="s">
        <v>18</v>
      </c>
      <c r="K282" s="2">
        <v>20</v>
      </c>
      <c r="L282" s="2">
        <v>5</v>
      </c>
      <c r="M282" s="2">
        <v>40</v>
      </c>
    </row>
    <row r="283" spans="1:13">
      <c r="A283" t="s">
        <v>583</v>
      </c>
      <c r="B283" t="s">
        <v>584</v>
      </c>
      <c r="C283" t="s">
        <v>24</v>
      </c>
      <c r="D283" s="1">
        <v>45504</v>
      </c>
      <c r="E283" t="s">
        <v>18</v>
      </c>
      <c r="F283" s="2">
        <v>20</v>
      </c>
      <c r="G283" t="s">
        <v>25</v>
      </c>
      <c r="H283" t="s">
        <v>18</v>
      </c>
      <c r="I283" s="2">
        <v>10</v>
      </c>
      <c r="J283" t="s">
        <v>18</v>
      </c>
      <c r="K283" s="2">
        <v>20</v>
      </c>
      <c r="L283" s="2">
        <v>10</v>
      </c>
      <c r="M283" s="2">
        <v>40</v>
      </c>
    </row>
    <row r="284" spans="1:13">
      <c r="A284" t="s">
        <v>585</v>
      </c>
      <c r="B284" t="s">
        <v>586</v>
      </c>
      <c r="C284" t="s">
        <v>24</v>
      </c>
      <c r="D284" s="1">
        <v>45511</v>
      </c>
      <c r="E284" t="s">
        <v>18</v>
      </c>
      <c r="F284" s="2">
        <v>25</v>
      </c>
      <c r="G284" t="s">
        <v>25</v>
      </c>
      <c r="H284" t="s">
        <v>18</v>
      </c>
      <c r="I284" s="2">
        <v>10</v>
      </c>
      <c r="J284" t="s">
        <v>18</v>
      </c>
      <c r="K284" s="2">
        <v>20</v>
      </c>
      <c r="L284" s="2">
        <v>15</v>
      </c>
      <c r="M284" s="2">
        <v>40</v>
      </c>
    </row>
    <row r="285" spans="1:13">
      <c r="A285" t="s">
        <v>587</v>
      </c>
      <c r="B285" t="s">
        <v>588</v>
      </c>
      <c r="C285" t="s">
        <v>15</v>
      </c>
      <c r="D285" s="1">
        <v>45518</v>
      </c>
      <c r="E285" t="s">
        <v>18</v>
      </c>
      <c r="F285" s="2">
        <v>30</v>
      </c>
      <c r="G285" t="s">
        <v>21</v>
      </c>
      <c r="H285" t="s">
        <v>18</v>
      </c>
      <c r="I285" s="2">
        <v>10</v>
      </c>
      <c r="J285" t="s">
        <v>16</v>
      </c>
      <c r="K285" s="2">
        <v>0</v>
      </c>
      <c r="L285" s="2">
        <v>30</v>
      </c>
      <c r="M285" s="2">
        <v>10</v>
      </c>
    </row>
    <row r="286" spans="1:13">
      <c r="A286" t="s">
        <v>589</v>
      </c>
      <c r="B286" t="s">
        <v>590</v>
      </c>
      <c r="C286" t="s">
        <v>28</v>
      </c>
      <c r="D286" s="1">
        <v>45525</v>
      </c>
      <c r="E286" t="s">
        <v>18</v>
      </c>
      <c r="F286" s="2">
        <v>35</v>
      </c>
      <c r="G286" t="s">
        <v>25</v>
      </c>
      <c r="H286" t="s">
        <v>18</v>
      </c>
      <c r="I286" s="2">
        <v>10</v>
      </c>
      <c r="J286" t="s">
        <v>16</v>
      </c>
      <c r="K286" s="2">
        <v>0</v>
      </c>
      <c r="L286" s="2">
        <v>5</v>
      </c>
      <c r="M286" s="2">
        <v>40</v>
      </c>
    </row>
    <row r="287" spans="1:13">
      <c r="A287" t="s">
        <v>591</v>
      </c>
      <c r="B287" t="s">
        <v>592</v>
      </c>
      <c r="C287" t="s">
        <v>24</v>
      </c>
      <c r="D287" s="1">
        <v>45532</v>
      </c>
      <c r="E287" t="s">
        <v>16</v>
      </c>
      <c r="F287" s="2">
        <v>15</v>
      </c>
      <c r="G287" t="s">
        <v>25</v>
      </c>
      <c r="H287" t="s">
        <v>18</v>
      </c>
      <c r="I287" s="2">
        <v>10</v>
      </c>
      <c r="J287" t="s">
        <v>18</v>
      </c>
      <c r="K287" s="2">
        <v>20</v>
      </c>
      <c r="L287" s="2">
        <v>5</v>
      </c>
      <c r="M287" s="2">
        <v>40</v>
      </c>
    </row>
    <row r="288" spans="1:13">
      <c r="A288" t="s">
        <v>593</v>
      </c>
      <c r="B288" t="s">
        <v>594</v>
      </c>
      <c r="C288" t="s">
        <v>24</v>
      </c>
      <c r="D288" s="1">
        <v>45539</v>
      </c>
      <c r="E288" t="s">
        <v>18</v>
      </c>
      <c r="F288" s="2">
        <v>20</v>
      </c>
      <c r="G288" t="s">
        <v>25</v>
      </c>
      <c r="H288" t="s">
        <v>18</v>
      </c>
      <c r="I288" s="2">
        <v>10</v>
      </c>
      <c r="J288" t="s">
        <v>18</v>
      </c>
      <c r="K288" s="2">
        <v>20</v>
      </c>
      <c r="L288" s="2">
        <v>40</v>
      </c>
      <c r="M288" s="2">
        <v>10</v>
      </c>
    </row>
    <row r="289" spans="1:13">
      <c r="A289" t="s">
        <v>595</v>
      </c>
      <c r="B289" t="s">
        <v>596</v>
      </c>
      <c r="C289" t="s">
        <v>24</v>
      </c>
      <c r="D289" s="1">
        <v>45546</v>
      </c>
      <c r="E289" t="s">
        <v>16</v>
      </c>
      <c r="F289" s="2">
        <v>25</v>
      </c>
      <c r="G289" t="s">
        <v>17</v>
      </c>
      <c r="H289" t="s">
        <v>18</v>
      </c>
      <c r="I289" s="2">
        <v>10</v>
      </c>
      <c r="J289" t="s">
        <v>16</v>
      </c>
      <c r="K289" s="2">
        <v>0</v>
      </c>
      <c r="L289" s="2">
        <v>25</v>
      </c>
      <c r="M289" s="2">
        <v>10</v>
      </c>
    </row>
    <row r="290" spans="1:13">
      <c r="A290" t="s">
        <v>597</v>
      </c>
      <c r="B290" t="s">
        <v>598</v>
      </c>
      <c r="C290" t="s">
        <v>28</v>
      </c>
      <c r="D290" s="1">
        <v>45553</v>
      </c>
      <c r="E290" t="s">
        <v>18</v>
      </c>
      <c r="F290" s="2">
        <v>30</v>
      </c>
      <c r="G290" t="s">
        <v>21</v>
      </c>
      <c r="H290" t="s">
        <v>18</v>
      </c>
      <c r="I290" s="2">
        <v>10</v>
      </c>
      <c r="J290" t="s">
        <v>18</v>
      </c>
      <c r="K290" s="2">
        <v>20</v>
      </c>
      <c r="L290" s="2">
        <v>20</v>
      </c>
      <c r="M290" s="2">
        <v>40</v>
      </c>
    </row>
    <row r="291" spans="1:13">
      <c r="A291" t="s">
        <v>599</v>
      </c>
      <c r="B291" t="s">
        <v>600</v>
      </c>
      <c r="C291" t="s">
        <v>15</v>
      </c>
      <c r="D291" s="1">
        <v>45560</v>
      </c>
      <c r="E291" t="s">
        <v>18</v>
      </c>
      <c r="F291" s="2">
        <v>35</v>
      </c>
      <c r="G291" t="s">
        <v>25</v>
      </c>
      <c r="H291" t="s">
        <v>18</v>
      </c>
      <c r="I291" s="2">
        <v>10</v>
      </c>
      <c r="J291" t="s">
        <v>18</v>
      </c>
      <c r="K291" s="2">
        <v>20</v>
      </c>
      <c r="L291" s="2">
        <v>55</v>
      </c>
      <c r="M291" s="2">
        <v>10</v>
      </c>
    </row>
    <row r="292" spans="1:13">
      <c r="A292" t="s">
        <v>601</v>
      </c>
      <c r="B292" t="s">
        <v>602</v>
      </c>
      <c r="C292" t="s">
        <v>28</v>
      </c>
      <c r="D292" s="1">
        <v>45567</v>
      </c>
      <c r="E292" t="s">
        <v>18</v>
      </c>
      <c r="F292" s="2">
        <v>15</v>
      </c>
      <c r="G292" t="s">
        <v>17</v>
      </c>
      <c r="H292" t="s">
        <v>18</v>
      </c>
      <c r="I292" s="2">
        <v>10</v>
      </c>
      <c r="J292" t="s">
        <v>18</v>
      </c>
      <c r="K292" s="2">
        <v>20</v>
      </c>
      <c r="L292" s="2">
        <v>35</v>
      </c>
      <c r="M292" s="2">
        <v>10</v>
      </c>
    </row>
    <row r="293" spans="1:13">
      <c r="A293" t="s">
        <v>603</v>
      </c>
      <c r="B293" t="s">
        <v>604</v>
      </c>
      <c r="C293" t="s">
        <v>15</v>
      </c>
      <c r="D293" s="1">
        <v>45574</v>
      </c>
      <c r="E293" t="s">
        <v>18</v>
      </c>
      <c r="F293" s="2">
        <v>20</v>
      </c>
      <c r="G293" t="s">
        <v>25</v>
      </c>
      <c r="H293" t="s">
        <v>18</v>
      </c>
      <c r="I293" s="2">
        <v>10</v>
      </c>
      <c r="J293" t="s">
        <v>18</v>
      </c>
      <c r="K293" s="2">
        <v>20</v>
      </c>
      <c r="L293" s="2">
        <v>40</v>
      </c>
      <c r="M293" s="2">
        <v>10</v>
      </c>
    </row>
    <row r="294" spans="1:13">
      <c r="A294" t="s">
        <v>605</v>
      </c>
      <c r="B294" t="s">
        <v>606</v>
      </c>
      <c r="C294" t="s">
        <v>24</v>
      </c>
      <c r="D294" s="1">
        <v>45581</v>
      </c>
      <c r="E294" t="s">
        <v>18</v>
      </c>
      <c r="F294" s="2">
        <v>25</v>
      </c>
      <c r="G294" t="s">
        <v>17</v>
      </c>
      <c r="H294" t="s">
        <v>18</v>
      </c>
      <c r="I294" s="2">
        <v>10</v>
      </c>
      <c r="J294" t="s">
        <v>18</v>
      </c>
      <c r="K294" s="2">
        <v>20</v>
      </c>
      <c r="L294" s="2">
        <v>15</v>
      </c>
      <c r="M294" s="2">
        <v>40</v>
      </c>
    </row>
    <row r="295" spans="1:13">
      <c r="A295" t="s">
        <v>607</v>
      </c>
      <c r="B295" t="s">
        <v>608</v>
      </c>
      <c r="C295" t="s">
        <v>28</v>
      </c>
      <c r="D295" s="1">
        <v>45588</v>
      </c>
      <c r="E295" t="s">
        <v>18</v>
      </c>
      <c r="F295" s="2">
        <v>30</v>
      </c>
      <c r="G295" t="s">
        <v>17</v>
      </c>
      <c r="H295" t="s">
        <v>18</v>
      </c>
      <c r="I295" s="2">
        <v>10</v>
      </c>
      <c r="J295" t="s">
        <v>18</v>
      </c>
      <c r="K295" s="2">
        <v>20</v>
      </c>
      <c r="L295" s="2">
        <v>50</v>
      </c>
      <c r="M295" s="2">
        <v>10</v>
      </c>
    </row>
    <row r="296" spans="1:13">
      <c r="A296" t="s">
        <v>609</v>
      </c>
      <c r="B296" t="s">
        <v>610</v>
      </c>
      <c r="C296" t="s">
        <v>24</v>
      </c>
      <c r="D296" s="1">
        <v>45595</v>
      </c>
      <c r="E296" t="s">
        <v>18</v>
      </c>
      <c r="F296" s="2">
        <v>35</v>
      </c>
      <c r="G296" t="s">
        <v>25</v>
      </c>
      <c r="H296" t="s">
        <v>18</v>
      </c>
      <c r="I296" s="2">
        <v>10</v>
      </c>
      <c r="J296" t="s">
        <v>18</v>
      </c>
      <c r="K296" s="2">
        <v>20</v>
      </c>
      <c r="L296" s="2">
        <v>55</v>
      </c>
      <c r="M296" s="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sqref="A1:H1"/>
    </sheetView>
  </sheetViews>
  <sheetFormatPr defaultRowHeight="14.25"/>
  <cols>
    <col min="1" max="8" width="18" customWidth="1"/>
  </cols>
  <sheetData>
    <row r="1" spans="1:8" ht="20.25">
      <c r="A1" s="27" t="s">
        <v>611</v>
      </c>
      <c r="B1" s="28"/>
      <c r="C1" s="27"/>
      <c r="D1" s="27"/>
      <c r="E1" s="28"/>
      <c r="F1" s="27"/>
      <c r="G1" s="27"/>
      <c r="H1" s="28"/>
    </row>
    <row r="3" spans="1:8" ht="15">
      <c r="A3" s="3" t="s">
        <v>612</v>
      </c>
      <c r="B3" s="3" t="s">
        <v>613</v>
      </c>
      <c r="D3" s="3" t="s">
        <v>614</v>
      </c>
      <c r="E3" s="3" t="s">
        <v>615</v>
      </c>
      <c r="G3" s="3" t="s">
        <v>616</v>
      </c>
      <c r="H3" s="3" t="s">
        <v>615</v>
      </c>
    </row>
    <row r="4" spans="1:8">
      <c r="A4" t="s">
        <v>617</v>
      </c>
      <c r="B4">
        <v>295</v>
      </c>
      <c r="D4" t="s">
        <v>28</v>
      </c>
      <c r="E4">
        <f>SUMIF(Base!$C$2:$C$296,D4,Base!$M$2:$M$296)</f>
        <v>2757</v>
      </c>
      <c r="G4" t="s">
        <v>25</v>
      </c>
      <c r="H4">
        <f>SUMIF(Base!$G$2:$G$296,G4,Base!$M$2:$M$296)</f>
        <v>2616</v>
      </c>
    </row>
    <row r="5" spans="1:8">
      <c r="A5" t="s">
        <v>618</v>
      </c>
      <c r="B5" s="2">
        <v>7633</v>
      </c>
      <c r="D5" t="s">
        <v>24</v>
      </c>
      <c r="E5">
        <f>SUMIF(Base!$C$2:$C$296,D5,Base!$M$2:$M$296)</f>
        <v>2456</v>
      </c>
      <c r="G5" t="s">
        <v>17</v>
      </c>
      <c r="H5">
        <f>SUMIF(Base!$G$2:$G$296,G5,Base!$M$2:$M$296)</f>
        <v>2507</v>
      </c>
    </row>
    <row r="6" spans="1:8">
      <c r="A6" t="s">
        <v>7</v>
      </c>
      <c r="B6" s="2">
        <v>2940</v>
      </c>
      <c r="D6" t="s">
        <v>15</v>
      </c>
      <c r="E6">
        <f>SUMIF(Base!$C$2:$C$296,D6,Base!$M$2:$M$296)</f>
        <v>2420</v>
      </c>
      <c r="G6" t="s">
        <v>21</v>
      </c>
      <c r="H6">
        <f>SUMIF(Base!$G$2:$G$296,G6,Base!$M$2:$M$296)</f>
        <v>2510</v>
      </c>
    </row>
    <row r="7" spans="1:8">
      <c r="A7" t="s">
        <v>9</v>
      </c>
      <c r="B7" s="2">
        <v>3880</v>
      </c>
      <c r="D7" t="s">
        <v>619</v>
      </c>
      <c r="E7">
        <f>SUM(E4:E6)</f>
        <v>7633</v>
      </c>
      <c r="G7" t="s">
        <v>619</v>
      </c>
      <c r="H7">
        <f>SUM(H4:H6)</f>
        <v>7633</v>
      </c>
    </row>
    <row r="8" spans="1:8">
      <c r="A8" t="s">
        <v>620</v>
      </c>
      <c r="B8" s="2">
        <v>3786</v>
      </c>
    </row>
    <row r="9" spans="1:8">
      <c r="A9" t="s">
        <v>621</v>
      </c>
      <c r="B9" s="2">
        <v>3847</v>
      </c>
    </row>
    <row r="10" spans="1:8" ht="15">
      <c r="D10" s="3" t="s">
        <v>4</v>
      </c>
      <c r="E10" s="3" t="s">
        <v>615</v>
      </c>
      <c r="G10" s="3" t="s">
        <v>622</v>
      </c>
      <c r="H10" s="3" t="s">
        <v>615</v>
      </c>
    </row>
    <row r="11" spans="1:8">
      <c r="D11" t="s">
        <v>18</v>
      </c>
      <c r="E11">
        <v>3786</v>
      </c>
      <c r="G11" t="s">
        <v>623</v>
      </c>
      <c r="H11">
        <v>2940</v>
      </c>
    </row>
    <row r="12" spans="1:8">
      <c r="D12" t="s">
        <v>16</v>
      </c>
      <c r="E12">
        <v>3847</v>
      </c>
      <c r="G12" t="s">
        <v>624</v>
      </c>
      <c r="H12">
        <v>3880</v>
      </c>
    </row>
    <row r="13" spans="1:8">
      <c r="D13" t="s">
        <v>619</v>
      </c>
      <c r="E13">
        <v>7633</v>
      </c>
      <c r="G13" t="s">
        <v>625</v>
      </c>
      <c r="H13">
        <v>6820</v>
      </c>
    </row>
    <row r="16" spans="1:8" ht="15">
      <c r="D16" s="3" t="s">
        <v>614</v>
      </c>
      <c r="E16" s="3" t="s">
        <v>626</v>
      </c>
      <c r="G16" s="3" t="s">
        <v>627</v>
      </c>
      <c r="H16" s="3" t="s">
        <v>615</v>
      </c>
    </row>
    <row r="17" spans="4:8">
      <c r="D17" t="s">
        <v>28</v>
      </c>
      <c r="E17">
        <f>COUNTIF(Base!$C$2:$C$296,D17)</f>
        <v>99</v>
      </c>
      <c r="G17">
        <v>1</v>
      </c>
      <c r="H17">
        <f>SUMIFS(Base!$M$2:$M$296,Base!$D$2:$D$296,"&gt;="&amp;DATE(2024,1,1),Base!$D$2:$D$296,"&lt;"&amp;DATE(2024,2,1))</f>
        <v>590</v>
      </c>
    </row>
    <row r="18" spans="4:8">
      <c r="D18" t="s">
        <v>24</v>
      </c>
      <c r="E18">
        <f>COUNTIF(Base!$C$2:$C$296,D18)</f>
        <v>98</v>
      </c>
      <c r="G18">
        <v>2</v>
      </c>
      <c r="H18">
        <f>SUMIFS(Base!$M$2:$M$296,Base!$D$2:$D$296,"&gt;="&amp;DATE(2024,2,1),Base!$D$2:$D$296,"&lt;"&amp;DATE(2024,3,1))</f>
        <v>820</v>
      </c>
    </row>
    <row r="19" spans="4:8">
      <c r="D19" t="s">
        <v>15</v>
      </c>
      <c r="E19">
        <f>COUNTIF(Base!$C$2:$C$296,D19)</f>
        <v>98</v>
      </c>
      <c r="G19">
        <v>3</v>
      </c>
      <c r="H19">
        <f>SUMIFS(Base!$M$2:$M$296,Base!$D$2:$D$296,"&gt;="&amp;DATE(2024,3,1),Base!$D$2:$D$296,"&lt;"&amp;DATE(2024,4,1))</f>
        <v>720</v>
      </c>
    </row>
    <row r="20" spans="4:8">
      <c r="D20" t="s">
        <v>619</v>
      </c>
      <c r="E20">
        <v>295</v>
      </c>
      <c r="G20">
        <v>4</v>
      </c>
      <c r="H20">
        <f>SUMIFS(Base!$M$2:$M$296,Base!$D$2:$D$296,"&gt;="&amp;DATE(2024,4,1),Base!$D$2:$D$296,"&lt;"&amp;DATE(2024,5,1))</f>
        <v>610</v>
      </c>
    </row>
    <row r="21" spans="4:8">
      <c r="G21">
        <v>5</v>
      </c>
      <c r="H21">
        <f>SUMIFS(Base!$M$2:$M$296,Base!$D$2:$D$296,"&gt;="&amp;DATE(2024,5,1),Base!$D$2:$D$296,"&lt;"&amp;DATE(2024,6,1))</f>
        <v>720</v>
      </c>
    </row>
    <row r="22" spans="4:8">
      <c r="G22">
        <v>6</v>
      </c>
      <c r="H22">
        <f>SUMIFS(Base!$M$2:$M$296,Base!$D$2:$D$296,"&gt;="&amp;DATE(2024,6,1),Base!$D$2:$D$296,"&lt;"&amp;DATE(2024,7,1))</f>
        <v>710</v>
      </c>
    </row>
    <row r="23" spans="4:8">
      <c r="G23">
        <v>7</v>
      </c>
      <c r="H23">
        <f>SUMIFS(Base!$M$2:$M$296,Base!$D$2:$D$296,"&gt;="&amp;DATE(2024,7,1),Base!$D$2:$D$296,"&lt;"&amp;DATE(2024,8,1))</f>
        <v>746</v>
      </c>
    </row>
    <row r="24" spans="4:8">
      <c r="G24">
        <v>8</v>
      </c>
      <c r="H24">
        <f>SUMIFS(Base!$M$2:$M$296,Base!$D$2:$D$296,"&gt;="&amp;DATE(2024,8,1),Base!$D$2:$D$296,"&lt;"&amp;DATE(2024,9,1))</f>
        <v>660</v>
      </c>
    </row>
    <row r="25" spans="4:8">
      <c r="G25">
        <v>9</v>
      </c>
      <c r="H25">
        <f>SUMIFS(Base!$M$2:$M$296,Base!$D$2:$D$296,"&gt;="&amp;DATE(2024,9,1),Base!$D$2:$D$296,"&lt;"&amp;DATE(2024,10,1))</f>
        <v>587</v>
      </c>
    </row>
    <row r="26" spans="4:8">
      <c r="G26">
        <v>10</v>
      </c>
      <c r="H26">
        <f>SUMIFS(Base!$M$2:$M$296,Base!$D$2:$D$296,"&gt;="&amp;DATE(2024,10,1),Base!$D$2:$D$296,"&lt;"&amp;DATE(2024,11,1))</f>
        <v>620</v>
      </c>
    </row>
    <row r="27" spans="4:8">
      <c r="G27">
        <v>11</v>
      </c>
      <c r="H27">
        <f>SUMIFS(Base!$M$2:$M$296,Base!$D$2:$D$296,"&gt;="&amp;DATE(2024,11,1),Base!$D$2:$D$296,"&lt;"&amp;DATE(2024,12,1))</f>
        <v>520</v>
      </c>
    </row>
    <row r="28" spans="4:8">
      <c r="G28">
        <v>12</v>
      </c>
      <c r="H28">
        <f>SUMIFS(Base!$M$2:$M$296,Base!$D$2:$D$296,"&gt;="&amp;DATE(2024,12,1),Base!$D$2:$D$296,"&lt;"&amp;DATE(2025,1,1))</f>
        <v>330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tabSelected="1" workbookViewId="0">
      <pane ySplit="4" topLeftCell="A5" activePane="bottomLeft" state="frozen"/>
      <selection pane="bottomLeft" activeCell="T10" sqref="T10"/>
    </sheetView>
  </sheetViews>
  <sheetFormatPr defaultRowHeight="14.25"/>
  <cols>
    <col min="1" max="14" width="12" customWidth="1"/>
  </cols>
  <sheetData>
    <row r="1" spans="1:20" ht="27.95" customHeight="1">
      <c r="A1" s="14" t="s">
        <v>628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20" ht="27.9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20" ht="27.9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20" ht="20.100000000000001" customHeight="1">
      <c r="A4" s="15" t="s">
        <v>629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20" ht="20.100000000000001" customHeight="1">
      <c r="A5" s="24" t="s">
        <v>630</v>
      </c>
      <c r="B5" s="24"/>
      <c r="C5" s="24"/>
      <c r="D5" s="24" t="s">
        <v>631</v>
      </c>
      <c r="E5" s="24"/>
      <c r="F5" s="24"/>
      <c r="G5" s="24" t="s">
        <v>632</v>
      </c>
      <c r="H5" s="24"/>
      <c r="I5" s="24"/>
      <c r="J5" s="24" t="s">
        <v>633</v>
      </c>
      <c r="K5" s="24"/>
      <c r="L5" s="24"/>
      <c r="M5" s="25" t="s">
        <v>634</v>
      </c>
      <c r="N5" s="25"/>
    </row>
    <row r="6" spans="1:20" ht="20.100000000000001" customHeight="1">
      <c r="A6" s="16">
        <f>Calculos!B4</f>
        <v>295</v>
      </c>
      <c r="B6" s="17"/>
      <c r="C6" s="17"/>
      <c r="D6" s="18">
        <f>Calculos!B5</f>
        <v>7633</v>
      </c>
      <c r="E6" s="19"/>
      <c r="F6" s="19"/>
      <c r="G6" s="20">
        <f>Calculos!B6</f>
        <v>2940</v>
      </c>
      <c r="H6" s="21"/>
      <c r="I6" s="21"/>
      <c r="J6" s="22">
        <f>Calculos!B7</f>
        <v>3880</v>
      </c>
      <c r="K6" s="23"/>
      <c r="L6" s="23"/>
      <c r="M6" s="25"/>
      <c r="N6" s="25"/>
    </row>
    <row r="7" spans="1:20" ht="20.100000000000001" customHeight="1">
      <c r="A7" s="17"/>
      <c r="B7" s="17"/>
      <c r="C7" s="17"/>
      <c r="D7" s="19"/>
      <c r="E7" s="19"/>
      <c r="F7" s="19"/>
      <c r="G7" s="21"/>
      <c r="H7" s="21"/>
      <c r="I7" s="21"/>
      <c r="J7" s="23"/>
      <c r="K7" s="23"/>
      <c r="L7" s="23"/>
      <c r="M7" s="25"/>
      <c r="N7" s="25"/>
    </row>
    <row r="8" spans="1:20" ht="20.100000000000001" customHeight="1">
      <c r="A8" s="17"/>
      <c r="B8" s="17"/>
      <c r="C8" s="17"/>
      <c r="D8" s="19"/>
      <c r="E8" s="19"/>
      <c r="F8" s="19"/>
      <c r="G8" s="21"/>
      <c r="H8" s="21"/>
      <c r="I8" s="21"/>
      <c r="J8" s="23"/>
      <c r="K8" s="23"/>
      <c r="L8" s="23"/>
      <c r="M8" s="26" t="s">
        <v>635</v>
      </c>
      <c r="N8" s="26"/>
    </row>
    <row r="9" spans="1:20" ht="20.100000000000001" customHeight="1">
      <c r="A9" s="17"/>
      <c r="B9" s="17"/>
      <c r="C9" s="17"/>
      <c r="D9" s="19"/>
      <c r="E9" s="19"/>
      <c r="F9" s="19"/>
      <c r="G9" s="21"/>
      <c r="H9" s="21"/>
      <c r="I9" s="21"/>
      <c r="J9" s="23"/>
      <c r="K9" s="23"/>
      <c r="L9" s="23"/>
      <c r="M9" s="26"/>
      <c r="N9" s="26"/>
    </row>
    <row r="10" spans="1:20" ht="20.100000000000001" customHeight="1">
      <c r="A10" s="17"/>
      <c r="B10" s="17"/>
      <c r="C10" s="17"/>
      <c r="D10" s="19"/>
      <c r="E10" s="19"/>
      <c r="F10" s="19"/>
      <c r="G10" s="21"/>
      <c r="H10" s="21"/>
      <c r="I10" s="21"/>
      <c r="J10" s="23"/>
      <c r="K10" s="23"/>
      <c r="L10" s="23"/>
      <c r="M10" s="26"/>
      <c r="N10" s="26"/>
      <c r="T10" s="9"/>
    </row>
    <row r="11" spans="1:20" ht="20.100000000000001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20" ht="20.100000000000001" customHeight="1">
      <c r="A12" s="10" t="s">
        <v>636</v>
      </c>
      <c r="B12" s="10"/>
      <c r="C12" s="10"/>
      <c r="D12" s="10"/>
      <c r="E12" s="10"/>
      <c r="F12" s="10"/>
      <c r="G12" s="10"/>
      <c r="H12" s="10" t="s">
        <v>637</v>
      </c>
      <c r="I12" s="10"/>
      <c r="J12" s="10"/>
      <c r="K12" s="10"/>
      <c r="L12" s="10"/>
      <c r="M12" s="10"/>
      <c r="N12" s="10"/>
    </row>
    <row r="13" spans="1:20" ht="20.100000000000001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20" ht="20.100000000000001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20" ht="20.100000000000001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20" ht="20.100000000000001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0.100000000000001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20.100000000000001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20.100000000000001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20.100000000000001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20.100000000000001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20.100000000000001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20.100000000000001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20.100000000000001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20.100000000000001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20.100000000000001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20.100000000000001" customHeight="1">
      <c r="A27" s="10" t="s">
        <v>638</v>
      </c>
      <c r="B27" s="10"/>
      <c r="C27" s="10"/>
      <c r="D27" s="10"/>
      <c r="E27" s="10"/>
      <c r="F27" s="10"/>
      <c r="G27" s="10"/>
      <c r="H27" s="10" t="s">
        <v>639</v>
      </c>
      <c r="I27" s="10"/>
      <c r="J27" s="10"/>
      <c r="K27" s="10"/>
      <c r="L27" s="10"/>
      <c r="M27" s="10"/>
      <c r="N27" s="10"/>
    </row>
    <row r="28" spans="1:14" ht="20.100000000000001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20.100000000000001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20.100000000000001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20.100000000000001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20.100000000000001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20.100000000000001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20.100000000000001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20.100000000000001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20.100000000000001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20.100000000000001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20.100000000000001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20.100000000000001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20.100000000000001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21.95" customHeight="1">
      <c r="A41" s="11" t="str">
        <f>"TICKET MÉDIO  |  R$ "&amp;TEXT(Calculos!B5/Calculos!B4,"0.00")</f>
        <v>TICKET MÉDIO  |  R$ 026</v>
      </c>
      <c r="B41" s="11"/>
      <c r="C41" s="11"/>
      <c r="D41" s="11"/>
      <c r="E41" s="11"/>
      <c r="F41" s="11"/>
      <c r="G41" s="12" t="s">
        <v>640</v>
      </c>
      <c r="H41" s="12"/>
      <c r="I41" s="12"/>
      <c r="J41" s="12"/>
      <c r="K41" s="13" t="s">
        <v>641</v>
      </c>
      <c r="L41" s="13"/>
      <c r="M41" s="13"/>
      <c r="N41" s="13"/>
    </row>
    <row r="42" spans="1:14" ht="21.95" customHeight="1">
      <c r="A42" s="11"/>
      <c r="B42" s="11"/>
      <c r="C42" s="11"/>
      <c r="D42" s="11"/>
      <c r="E42" s="11"/>
      <c r="F42" s="11"/>
      <c r="G42" s="12"/>
      <c r="H42" s="12"/>
      <c r="I42" s="12"/>
      <c r="J42" s="12"/>
      <c r="K42" s="13"/>
      <c r="L42" s="13"/>
      <c r="M42" s="13"/>
      <c r="N42" s="13"/>
    </row>
    <row r="43" spans="1:14" ht="21.95" customHeight="1">
      <c r="A43" s="11"/>
      <c r="B43" s="11"/>
      <c r="C43" s="11"/>
      <c r="D43" s="11"/>
      <c r="E43" s="11"/>
      <c r="F43" s="11"/>
      <c r="G43" s="12"/>
      <c r="H43" s="12"/>
      <c r="I43" s="12"/>
      <c r="J43" s="12"/>
      <c r="K43" s="13"/>
      <c r="L43" s="13"/>
      <c r="M43" s="13"/>
      <c r="N43" s="13"/>
    </row>
  </sheetData>
  <mergeCells count="19">
    <mergeCell ref="A1:N3"/>
    <mergeCell ref="A4:N4"/>
    <mergeCell ref="A6:C10"/>
    <mergeCell ref="D6:F10"/>
    <mergeCell ref="G6:I10"/>
    <mergeCell ref="J6:L10"/>
    <mergeCell ref="A5:C5"/>
    <mergeCell ref="D5:F5"/>
    <mergeCell ref="G5:I5"/>
    <mergeCell ref="J5:L5"/>
    <mergeCell ref="M5:N7"/>
    <mergeCell ref="M8:N10"/>
    <mergeCell ref="A12:G12"/>
    <mergeCell ref="H12:N12"/>
    <mergeCell ref="A27:G27"/>
    <mergeCell ref="H27:N27"/>
    <mergeCell ref="A41:F43"/>
    <mergeCell ref="G41:J43"/>
    <mergeCell ref="K41:N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4.25"/>
  <cols>
    <col min="1" max="1" width="28" customWidth="1"/>
    <col min="2" max="2" width="70" customWidth="1"/>
  </cols>
  <sheetData>
    <row r="1" spans="1:8" ht="23.25">
      <c r="A1" s="29" t="s">
        <v>642</v>
      </c>
      <c r="B1" s="29"/>
      <c r="C1" s="29"/>
      <c r="D1" s="29"/>
      <c r="E1" s="29"/>
      <c r="F1" s="29"/>
      <c r="G1" s="29"/>
      <c r="H1" s="29"/>
    </row>
    <row r="3" spans="1:8" ht="29.25">
      <c r="A3" s="7" t="s">
        <v>643</v>
      </c>
      <c r="B3" s="8" t="s">
        <v>644</v>
      </c>
    </row>
    <row r="4" spans="1:8" ht="29.25">
      <c r="A4" s="7" t="s">
        <v>645</v>
      </c>
      <c r="B4" s="8" t="s">
        <v>646</v>
      </c>
    </row>
    <row r="5" spans="1:8" ht="43.5">
      <c r="A5" s="7" t="s">
        <v>647</v>
      </c>
      <c r="B5" s="8" t="s">
        <v>648</v>
      </c>
    </row>
    <row r="6" spans="1:8" ht="29.25">
      <c r="A6" s="7" t="s">
        <v>649</v>
      </c>
      <c r="B6" s="8" t="s">
        <v>650</v>
      </c>
    </row>
    <row r="7" spans="1:8" ht="30">
      <c r="A7" s="7" t="s">
        <v>651</v>
      </c>
      <c r="B7" s="8" t="s">
        <v>652</v>
      </c>
    </row>
    <row r="8" spans="1:8" ht="29.25">
      <c r="A8" s="7" t="s">
        <v>653</v>
      </c>
      <c r="B8" s="8" t="s">
        <v>654</v>
      </c>
    </row>
    <row r="10" spans="1:8" ht="15">
      <c r="A10" s="3" t="s">
        <v>655</v>
      </c>
      <c r="B10" s="4" t="s">
        <v>656</v>
      </c>
    </row>
    <row r="11" spans="1:8">
      <c r="A11" t="s">
        <v>657</v>
      </c>
      <c r="B11" s="8" t="s">
        <v>658</v>
      </c>
    </row>
    <row r="12" spans="1:8">
      <c r="A12" t="s">
        <v>659</v>
      </c>
      <c r="B12" s="8" t="s">
        <v>660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Calculos</vt:lpstr>
      <vt:lpstr>Dashboard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Pedro da Silva Vargas</cp:lastModifiedBy>
  <dcterms:created xsi:type="dcterms:W3CDTF">2026-10-28T11:54:43Z</dcterms:created>
  <dcterms:modified xsi:type="dcterms:W3CDTF">2026-10-28T11:59:16Z</dcterms:modified>
</cp:coreProperties>
</file>